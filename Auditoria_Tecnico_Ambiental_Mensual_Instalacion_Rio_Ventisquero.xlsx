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Listas" sheetId="1" state="hidden" r:id="rId1"/>
    <sheet name="Portada" sheetId="2" state="visible" r:id="rId2"/>
    <sheet name="Config" sheetId="3" state="visible" r:id="rId3"/>
    <sheet name="Instrucciones" sheetId="4" state="visible" r:id="rId4"/>
    <sheet name="Catálogo de requisitos" sheetId="5" state="visible" r:id="rId5"/>
    <sheet name="Matriz auditoría mensual" sheetId="6" state="visible" r:id="rId6"/>
    <sheet name="Registro hallazgos" sheetId="7" state="visible" r:id="rId7"/>
    <sheet name="Control permisos" sheetId="8" state="visible" r:id="rId8"/>
    <sheet name="Registro residuos" sheetId="9" state="visible" r:id="rId9"/>
    <sheet name="Agua y sanitarios" sheetId="10" state="visible" r:id="rId10"/>
    <sheet name="Capacitaciones" sheetId="11" state="visible" r:id="rId11"/>
    <sheet name="Registro fotográfico" sheetId="12" state="visible" r:id="rId12"/>
    <sheet name="Dashboard" sheetId="13" state="visible" r:id="rId13"/>
    <sheet name="Informe mensual" sheetId="14" state="visible" r:id="rId14"/>
  </sheets>
  <definedNames>
    <definedName name="_xlnm.Print_Titles" localSheetId="5">'Matriz auditoría mensual'!$1:$1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b val="1"/>
      <sz val="11"/>
    </font>
    <font>
      <b val="1"/>
    </font>
    <font>
      <i val="1"/>
      <color rgb="007F6000"/>
    </font>
    <font>
      <b val="1"/>
      <sz val="12"/>
    </font>
    <font>
      <name val="Calibri"/>
      <b val="1"/>
      <color rgb="00FFFFFF"/>
      <sz val="10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applyAlignment="1" pivotButton="0" quotePrefix="0" xfId="0">
      <alignment wrapText="1"/>
    </xf>
    <xf numFmtId="0" fontId="4" fillId="3" borderId="0" applyAlignment="1" pivotButton="0" quotePrefix="0" xfId="0">
      <alignment vertical="top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7" fillId="0" borderId="0" pivotButton="0" quotePrefix="0" xfId="0"/>
    <xf numFmtId="10" fontId="0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FCCCC"/>
        </patternFill>
      </fill>
    </dxf>
    <dxf>
      <fill>
        <patternFill patternType="solid">
          <fgColor rgb="00E7E6E6"/>
        </patternFill>
      </fill>
    </dxf>
    <dxf>
      <font>
        <color rgb="00FFFFFF"/>
      </font>
      <fill>
        <patternFill patternType="solid">
          <fgColor rgb="00C00000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estados de cumplimiento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'Dashboard'!$D$5:$D$9</f>
            </numRef>
          </cat>
          <val>
            <numRef>
              <f>'Dashboard'!$E$5:$E$9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Hallazgos por nivel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'Dashboard'!$D$13:$D$17</f>
            </numRef>
          </cat>
          <val>
            <numRef>
              <f>'Dashboard'!$E$13:$E$17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Catalogo" displayName="TablaCatalogo" ref="A1:P84" headerRowCount="1">
  <autoFilter ref="A1:P84"/>
  <tableColumns count="16">
    <tableColumn id="1" name="ID"/>
    <tableColumn id="2" name="Componente ambiental"/>
    <tableColumn id="3" name="Subcomponente"/>
    <tableColumn id="4" name="Etapa"/>
    <tableColumn id="5" name="Área/ubicación"/>
    <tableColumn id="6" name="Requisito auditable"/>
    <tableColumn id="7" name="Medida/obligación/compromiso"/>
    <tableColumn id="8" name="Fuente documental"/>
    <tableColumn id="9" name="Norma/permiso/referencia"/>
    <tableColumn id="10" name="Frecuencia"/>
    <tableColumn id="11" name="Indicador/criterio"/>
    <tableColumn id="12" name="Método verificación"/>
    <tableColumn id="13" name="Resultado esperado"/>
    <tableColumn id="14" name="Tipo obligación"/>
    <tableColumn id="15" name="Nivel certeza requisito"/>
    <tableColumn id="16" name="Ponderación defa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Matriz" displayName="TablaMatriz" ref="A1:AK84" headerRowCount="1">
  <autoFilter ref="A1:AK84"/>
  <tableColumns count="37">
    <tableColumn id="1" name="ID requisito"/>
    <tableColumn id="2" name="Componente ambiental"/>
    <tableColumn id="3" name="Subcomponente"/>
    <tableColumn id="4" name="Etapa proyecto"/>
    <tableColumn id="5" name="Área/ubicación"/>
    <tableColumn id="6" name="Requisito auditable"/>
    <tableColumn id="7" name="Medida/obligación/compromiso"/>
    <tableColumn id="8" name="Fuente documental"/>
    <tableColumn id="9" name="Norma/permiso/referencia"/>
    <tableColumn id="10" name="Frecuencia control"/>
    <tableColumn id="11" name="Indicador/criterio verificación"/>
    <tableColumn id="12" name="Método verificación"/>
    <tableColumn id="13" name="Resultado esperado"/>
    <tableColumn id="14" name="Estado cumplimiento"/>
    <tableColumn id="15" name="Nivel hallazgo"/>
    <tableColumn id="16" name="Descripción evidencia revisada"/>
    <tableColumn id="17" name="Tipo evidencia"/>
    <tableColumn id="18" name="Documento respaldo"/>
    <tableColumn id="19" name="Enlace evidencia"/>
    <tableColumn id="20" name="Fecha verificación"/>
    <tableColumn id="21" name="Responsable verificación"/>
    <tableColumn id="22" name="Responsable acción correctiva"/>
    <tableColumn id="23" name="Fecha comprometida cierre"/>
    <tableColumn id="24" name="Fecha real cierre"/>
    <tableColumn id="25" name="Días atraso"/>
    <tableColumn id="26" name="Acción correctiva/preventiva"/>
    <tableColumn id="27" name="Estado hallazgo"/>
    <tableColumn id="28" name="Observaciones auditor"/>
    <tableColumn id="29" name="Comunicar IF"/>
    <tableColumn id="30" name="Folio comunicación/informe"/>
    <tableColumn id="31" name="Foto antes"/>
    <tableColumn id="32" name="Foto después"/>
    <tableColumn id="33" name="Validación responsable"/>
    <tableColumn id="34" name="Ponderación"/>
    <tableColumn id="35" name="% cumplimiento fila"/>
    <tableColumn id="36" name="Tipo obligación"/>
    <tableColumn id="37" name="Nivel certeza requisi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Hallazgos" displayName="TablaHallazgos" ref="A1:X51" headerRowCount="1">
  <autoFilter ref="A1:X51"/>
  <tableColumns count="24">
    <tableColumn id="1" name="ID hallazgo"/>
    <tableColumn id="2" name="Fecha detección"/>
    <tableColumn id="3" name="Mes auditoría"/>
    <tableColumn id="4" name="ID requisito"/>
    <tableColumn id="5" name="Componente ambiental"/>
    <tableColumn id="6" name="Descripción hallazgo"/>
    <tableColumn id="7" name="Evidencia objetiva"/>
    <tableColumn id="8" name="Nivel hallazgo"/>
    <tableColumn id="9" name="Riesgo ambiental"/>
    <tableColumn id="10" name="Requisito incumplido"/>
    <tableColumn id="11" name="Acción inmediata"/>
    <tableColumn id="12" name="Acción correctiva definitiva"/>
    <tableColumn id="13" name="Responsable"/>
    <tableColumn id="14" name="Fecha comprometida"/>
    <tableColumn id="15" name="Fecha cierre"/>
    <tableColumn id="16" name="Estado"/>
    <tableColumn id="17" name="Días abiertos"/>
    <tableColumn id="18" name="Días atraso"/>
    <tableColumn id="19" name="Verificación eficacia"/>
    <tableColumn id="20" name="Responsable verificar cierre"/>
    <tableColumn id="21" name="Evidencia cierre"/>
    <tableColumn id="22" name="Comunicar mandante"/>
    <tableColumn id="23" name="Folio comunicación"/>
    <tableColumn id="24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Documentos" displayName="TablaDocumentos" ref="A1:P31" headerRowCount="1">
  <autoFilter ref="A1:P31"/>
  <tableColumns count="16">
    <tableColumn id="1" name="ID documental"/>
    <tableColumn id="2" name="Tipo documento"/>
    <tableColumn id="3" name="Documento/permiso"/>
    <tableColumn id="4" name="Materia"/>
    <tableColumn id="5" name="Autoridad emisora"/>
    <tableColumn id="6" name="Titular"/>
    <tableColumn id="7" name="N° resolución/certificado"/>
    <tableColumn id="8" name="Fecha emisión"/>
    <tableColumn id="9" name="Fecha vencimiento"/>
    <tableColumn id="10" name="Vigencia (días rest.)"/>
    <tableColumn id="11" name="Estado documental (auto)"/>
    <tableColumn id="12" name="Responsable"/>
    <tableColumn id="13" name="Ubicación archivo"/>
    <tableColumn id="14" name="Enlace digital"/>
    <tableColumn id="15" name="Fecha última revisión"/>
    <tableColumn id="16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Residuos" displayName="TablaResiduos" ref="A1:R200" headerRowCount="1">
  <autoFilter ref="A1:R200"/>
  <tableColumns count="18">
    <tableColumn id="1" name="Mes"/>
    <tableColumn id="2" name="Fecha"/>
    <tableColumn id="3" name="Área generadora"/>
    <tableColumn id="4" name="Tipo residuo"/>
    <tableColumn id="5" name="Clasificación"/>
    <tableColumn id="6" name="Peligrosidad"/>
    <tableColumn id="7" name="Código/descripción"/>
    <tableColumn id="8" name="Cantidad"/>
    <tableColumn id="9" name="Unidad"/>
    <tableColumn id="10" name="Contenedor"/>
    <tableColumn id="11" name="Fecha retiro"/>
    <tableColumn id="12" name="Transportista"/>
    <tableColumn id="13" name="Autorización transportista"/>
    <tableColumn id="14" name="Destino final"/>
    <tableColumn id="15" name="Autorización destino"/>
    <tableColumn id="16" name="N° guía/manifiesto/certificado"/>
    <tableColumn id="17" name="Evidencia"/>
    <tableColumn id="18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Agua" displayName="TablaAgua" ref="A1:O200" headerRowCount="1">
  <autoFilter ref="A1:O200"/>
  <tableColumns count="15">
    <tableColumn id="1" name="Mes"/>
    <tableColumn id="2" name="Fecha"/>
    <tableColumn id="3" name="Tipo control"/>
    <tableColumn id="4" name="Sistema/instalación"/>
    <tableColumn id="5" name="Agua potable"/>
    <tableColumn id="6" name="Cloro residual"/>
    <tableColumn id="7" name="Resultado análisis"/>
    <tableColumn id="8" name="Limpieza fosa séptica"/>
    <tableColumn id="9" name="Limpieza baño químico"/>
    <tableColumn id="10" name="Limpieza cámara desgrasadora"/>
    <tableColumn id="11" name="Empresa prestadora"/>
    <tableColumn id="12" name="N° resolución sanitaria"/>
    <tableColumn id="13" name="Certificado/respaldo"/>
    <tableColumn id="14" name="Resultado"/>
    <tableColumn id="15" name="Observacio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aCapacitaciones" displayName="TablaCapacitaciones" ref="A1:K200" headerRowCount="1">
  <autoFilter ref="A1:K200"/>
  <tableColumns count="11">
    <tableColumn id="1" name="Fecha"/>
    <tableColumn id="2" name="Tema"/>
    <tableColumn id="3" name="Tipo capacitación"/>
    <tableColumn id="4" name="Relator"/>
    <tableColumn id="5" name="Cargo"/>
    <tableColumn id="6" name="Empresa"/>
    <tableColumn id="7" name="N° asistentes"/>
    <tableColumn id="8" name="Lista asistencia"/>
    <tableColumn id="9" name="Evaluación"/>
    <tableColumn id="10" name="Evidencia"/>
    <tableColumn id="11" name="Observacion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aFotos" displayName="TablaFotos" ref="A1:M101" headerRowCount="1">
  <autoFilter ref="A1:M101"/>
  <tableColumns count="13">
    <tableColumn id="1" name="ID foto"/>
    <tableColumn id="2" name="Fecha"/>
    <tableColumn id="3" name="Mes"/>
    <tableColumn id="4" name="Ubicación"/>
    <tableColumn id="5" name="Componente ambiental"/>
    <tableColumn id="6" name="Descripción"/>
    <tableColumn id="7" name="Tipo evidencia"/>
    <tableColumn id="8" name="Antes/después"/>
    <tableColumn id="9" name="Nombre archivo"/>
    <tableColumn id="10" name="Enlace"/>
    <tableColumn id="11" name="Coordenadas"/>
    <tableColumn id="12" name="Responsable"/>
    <tableColumn id="13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Estado Cumplimiento</t>
        </is>
      </c>
      <c r="C1" t="inlineStr">
        <is>
          <t>Nivel Hallazgo</t>
        </is>
      </c>
      <c r="D1" t="inlineStr">
        <is>
          <t>Estado Hallazgo</t>
        </is>
      </c>
      <c r="E1" t="inlineStr">
        <is>
          <t>Tipo Evidencia</t>
        </is>
      </c>
      <c r="F1" t="inlineStr">
        <is>
          <t>Frecuencia</t>
        </is>
      </c>
      <c r="G1" t="inlineStr">
        <is>
          <t>Etapa</t>
        </is>
      </c>
      <c r="H1" t="inlineStr">
        <is>
          <t>Tipo Obligacion</t>
        </is>
      </c>
      <c r="I1" t="inlineStr">
        <is>
          <t>Nivel Certeza</t>
        </is>
      </c>
      <c r="J1" t="inlineStr">
        <is>
          <t>Si No</t>
        </is>
      </c>
      <c r="K1" t="inlineStr">
        <is>
          <t>Estado Documental</t>
        </is>
      </c>
      <c r="L1" t="inlineStr">
        <is>
          <t>Tipo Residuo</t>
        </is>
      </c>
      <c r="M1" t="inlineStr">
        <is>
          <t>Unidad</t>
        </is>
      </c>
      <c r="N1" t="inlineStr">
        <is>
          <t>Riesgo Ambiental</t>
        </is>
      </c>
      <c r="O1" t="inlineStr">
        <is>
          <t>Responsables</t>
        </is>
      </c>
      <c r="P1" t="inlineStr">
        <is>
          <t>Mes auditoría</t>
        </is>
      </c>
      <c r="Q1" t="inlineStr">
        <is>
          <t>Temas capacitación</t>
        </is>
      </c>
    </row>
    <row r="2">
      <c r="A2" t="inlineStr">
        <is>
          <t>Autorizaciones y permisos</t>
        </is>
      </c>
      <c r="B2" t="inlineStr">
        <is>
          <t>Cumple</t>
        </is>
      </c>
      <c r="C2" t="inlineStr">
        <is>
          <t>Crítico</t>
        </is>
      </c>
      <c r="D2" t="inlineStr">
        <is>
          <t>Abierto</t>
        </is>
      </c>
      <c r="E2" t="inlineStr">
        <is>
          <t>Fotografía</t>
        </is>
      </c>
      <c r="F2" t="inlineStr">
        <is>
          <t>Diaria</t>
        </is>
      </c>
      <c r="G2" t="inlineStr">
        <is>
          <t>Instalación</t>
        </is>
      </c>
      <c r="H2" t="inlineStr">
        <is>
          <t>Obligación contenida en el Plan de Manejo</t>
        </is>
      </c>
      <c r="I2" t="inlineStr">
        <is>
          <t>Expreso en el Plan de Manejo</t>
        </is>
      </c>
      <c r="J2" t="inlineStr">
        <is>
          <t>Sí</t>
        </is>
      </c>
      <c r="K2" t="inlineStr">
        <is>
          <t>Vigente</t>
        </is>
      </c>
      <c r="L2" t="inlineStr">
        <is>
          <t>Residuos domiciliarios</t>
        </is>
      </c>
      <c r="M2" t="inlineStr">
        <is>
          <t>kg</t>
        </is>
      </c>
      <c r="N2" t="inlineStr">
        <is>
          <t>Alto</t>
        </is>
      </c>
      <c r="O2" t="inlineStr">
        <is>
          <t>Encargado ambiental</t>
        </is>
      </c>
      <c r="P2" t="inlineStr">
        <is>
          <t>05-2026</t>
        </is>
      </c>
      <c r="Q2" t="inlineStr">
        <is>
          <t>Buenas prácticas ambientales</t>
        </is>
      </c>
    </row>
    <row r="3">
      <c r="A3" t="inlineStr">
        <is>
          <t>Condiciones generales de operación</t>
        </is>
      </c>
      <c r="B3" t="inlineStr">
        <is>
          <t>Cumple parcialmente</t>
        </is>
      </c>
      <c r="C3" t="inlineStr">
        <is>
          <t>Mayor</t>
        </is>
      </c>
      <c r="D3" t="inlineStr">
        <is>
          <t>En tratamiento</t>
        </is>
      </c>
      <c r="E3" t="inlineStr">
        <is>
          <t>Acta</t>
        </is>
      </c>
      <c r="F3" t="inlineStr">
        <is>
          <t>Semanal</t>
        </is>
      </c>
      <c r="G3" t="inlineStr">
        <is>
          <t>Operación</t>
        </is>
      </c>
      <c r="H3" t="inlineStr">
        <is>
          <t>Exigencia legal o reglamentaria</t>
        </is>
      </c>
      <c r="I3" t="inlineStr">
        <is>
          <t>Derivado del Plan de Manejo</t>
        </is>
      </c>
      <c r="J3" t="inlineStr">
        <is>
          <t>No</t>
        </is>
      </c>
      <c r="K3" t="inlineStr">
        <is>
          <t>Por vencer en 30 días</t>
        </is>
      </c>
      <c r="L3" t="inlineStr">
        <is>
          <t>RCD</t>
        </is>
      </c>
      <c r="M3" t="inlineStr">
        <is>
          <t>ton</t>
        </is>
      </c>
      <c r="N3" t="inlineStr">
        <is>
          <t>Medio</t>
        </is>
      </c>
      <c r="O3" t="inlineStr">
        <is>
          <t>Administrador de obra</t>
        </is>
      </c>
      <c r="P3" t="inlineStr">
        <is>
          <t>06-2026</t>
        </is>
      </c>
      <c r="Q3" t="inlineStr">
        <is>
          <t>Manejo de residuos</t>
        </is>
      </c>
    </row>
    <row r="4">
      <c r="A4" t="inlineStr">
        <is>
          <t>Orden y limpieza</t>
        </is>
      </c>
      <c r="B4" t="inlineStr">
        <is>
          <t>No cumple</t>
        </is>
      </c>
      <c r="C4" t="inlineStr">
        <is>
          <t>Menor</t>
        </is>
      </c>
      <c r="D4" t="inlineStr">
        <is>
          <t>Cerrado</t>
        </is>
      </c>
      <c r="E4" t="inlineStr">
        <is>
          <t>Certificado</t>
        </is>
      </c>
      <c r="F4" t="inlineStr">
        <is>
          <t>Quincenal</t>
        </is>
      </c>
      <c r="G4" t="inlineStr">
        <is>
          <t>Mantenimiento</t>
        </is>
      </c>
      <c r="H4" t="inlineStr">
        <is>
          <t>Compromiso contractual</t>
        </is>
      </c>
      <c r="I4" t="inlineStr">
        <is>
          <t>Norma o permiso aplicable</t>
        </is>
      </c>
      <c r="K4" t="inlineStr">
        <is>
          <t>Por vencer en 60 días</t>
        </is>
      </c>
      <c r="L4" t="inlineStr">
        <is>
          <t>Chatarra</t>
        </is>
      </c>
      <c r="M4" t="inlineStr">
        <is>
          <t>m³</t>
        </is>
      </c>
      <c r="N4" t="inlineStr">
        <is>
          <t>Bajo</t>
        </is>
      </c>
      <c r="O4" t="inlineStr">
        <is>
          <t>Jefe de faena</t>
        </is>
      </c>
      <c r="P4" t="inlineStr">
        <is>
          <t>07-2026</t>
        </is>
      </c>
      <c r="Q4" t="inlineStr">
        <is>
          <t>Residuos peligrosos</t>
        </is>
      </c>
    </row>
    <row r="5">
      <c r="A5" t="inlineStr">
        <is>
          <t>Ocupación del área</t>
        </is>
      </c>
      <c r="B5" t="inlineStr">
        <is>
          <t>No aplica</t>
        </is>
      </c>
      <c r="C5" t="inlineStr">
        <is>
          <t>Observación</t>
        </is>
      </c>
      <c r="D5" t="inlineStr">
        <is>
          <t>Verificado</t>
        </is>
      </c>
      <c r="E5" t="inlineStr">
        <is>
          <t>Resolución</t>
        </is>
      </c>
      <c r="F5" t="inlineStr">
        <is>
          <t>Mensual</t>
        </is>
      </c>
      <c r="G5" t="inlineStr">
        <is>
          <t>Cierre</t>
        </is>
      </c>
      <c r="H5" t="inlineStr">
        <is>
          <t>Buena práctica ambiental</t>
        </is>
      </c>
      <c r="I5" t="inlineStr">
        <is>
          <t>Requiere validación</t>
        </is>
      </c>
      <c r="K5" t="inlineStr">
        <is>
          <t>Vencido</t>
        </is>
      </c>
      <c r="L5" t="inlineStr">
        <is>
          <t>Madera</t>
        </is>
      </c>
      <c r="M5" t="inlineStr">
        <is>
          <t>L</t>
        </is>
      </c>
      <c r="N5" t="inlineStr">
        <is>
          <t>No aplica</t>
        </is>
      </c>
      <c r="O5" t="inlineStr">
        <is>
          <t>Supervisor de área</t>
        </is>
      </c>
      <c r="P5" t="inlineStr">
        <is>
          <t>08-2026</t>
        </is>
      </c>
      <c r="Q5" t="inlineStr">
        <is>
          <t>Control de derrames</t>
        </is>
      </c>
    </row>
    <row r="6">
      <c r="A6" t="inlineStr">
        <is>
          <t>Control de accesos</t>
        </is>
      </c>
      <c r="B6" t="inlineStr">
        <is>
          <t>Pendiente de verificación</t>
        </is>
      </c>
      <c r="C6" t="inlineStr">
        <is>
          <t>Buena práctica</t>
        </is>
      </c>
      <c r="D6" t="inlineStr">
        <is>
          <t>Reabierto</t>
        </is>
      </c>
      <c r="E6" t="inlineStr">
        <is>
          <t>Guía de transporte</t>
        </is>
      </c>
      <c r="F6" t="inlineStr">
        <is>
          <t>Trimestral</t>
        </is>
      </c>
      <c r="G6" t="inlineStr">
        <is>
          <t>Todas las etapas</t>
        </is>
      </c>
      <c r="H6" t="inlineStr">
        <is>
          <t>Antecedente documental pendiente</t>
        </is>
      </c>
      <c r="K6" t="inlineStr">
        <is>
          <t>En trámite</t>
        </is>
      </c>
      <c r="L6" t="inlineStr">
        <is>
          <t>Plásticos no contaminados</t>
        </is>
      </c>
      <c r="M6" t="inlineStr">
        <is>
          <t>unidad</t>
        </is>
      </c>
      <c r="O6" t="inlineStr">
        <is>
          <t>Inspector Fiscal</t>
        </is>
      </c>
      <c r="P6" t="inlineStr">
        <is>
          <t>09-2026</t>
        </is>
      </c>
      <c r="Q6" t="inlineStr">
        <is>
          <t>Protección del agua</t>
        </is>
      </c>
    </row>
    <row r="7">
      <c r="A7" t="inlineStr">
        <is>
          <t>Flujo y tránsito de maquinaria</t>
        </is>
      </c>
      <c r="B7" t="inlineStr">
        <is>
          <t>En proceso de regularización</t>
        </is>
      </c>
      <c r="C7" t="inlineStr">
        <is>
          <t>Sin hallazgo</t>
        </is>
      </c>
      <c r="E7" t="inlineStr">
        <is>
          <t>Manifiesto</t>
        </is>
      </c>
      <c r="F7" t="inlineStr">
        <is>
          <t>Semestral</t>
        </is>
      </c>
      <c r="K7" t="inlineStr">
        <is>
          <t>No disponible</t>
        </is>
      </c>
      <c r="L7" t="inlineStr">
        <is>
          <t>Aceite usado</t>
        </is>
      </c>
      <c r="M7" t="inlineStr">
        <is>
          <t>bolsa</t>
        </is>
      </c>
      <c r="O7" t="inlineStr">
        <is>
          <t>Contratista RESPEL</t>
        </is>
      </c>
      <c r="P7" t="inlineStr">
        <is>
          <t>10-2026</t>
        </is>
      </c>
      <c r="Q7" t="inlineStr">
        <is>
          <t>Protección del río Ventisquero</t>
        </is>
      </c>
    </row>
    <row r="8">
      <c r="A8" t="inlineStr">
        <is>
          <t>Velocidad máxima</t>
        </is>
      </c>
      <c r="E8" t="inlineStr">
        <is>
          <t>Informe</t>
        </is>
      </c>
      <c r="F8" t="inlineStr">
        <is>
          <t>Anual</t>
        </is>
      </c>
      <c r="K8" t="inlineStr">
        <is>
          <t>No aplica</t>
        </is>
      </c>
      <c r="L8" t="inlineStr">
        <is>
          <t>Filtros</t>
        </is>
      </c>
      <c r="M8" t="inlineStr">
        <is>
          <t>contenedor</t>
        </is>
      </c>
      <c r="O8" t="inlineStr">
        <is>
          <t>Otro</t>
        </is>
      </c>
      <c r="P8" t="inlineStr">
        <is>
          <t>11-2026</t>
        </is>
      </c>
      <c r="Q8" t="inlineStr">
        <is>
          <t>Flora y fauna</t>
        </is>
      </c>
    </row>
    <row r="9">
      <c r="A9" t="inlineStr">
        <is>
          <t>Funcionamiento de motores</t>
        </is>
      </c>
      <c r="E9" t="inlineStr">
        <is>
          <t>Registro</t>
        </is>
      </c>
      <c r="F9" t="inlineStr">
        <is>
          <t>Eventual</t>
        </is>
      </c>
      <c r="L9" t="inlineStr">
        <is>
          <t>Baterías</t>
        </is>
      </c>
      <c r="P9" t="inlineStr">
        <is>
          <t>12-2026</t>
        </is>
      </c>
      <c r="Q9" t="inlineStr">
        <is>
          <t>Prohibición de caza y alimentación de fauna</t>
        </is>
      </c>
    </row>
    <row r="10">
      <c r="A10" t="inlineStr">
        <is>
          <t>Emisiones atmosféricas</t>
        </is>
      </c>
      <c r="E10" t="inlineStr">
        <is>
          <t>Lista de asistencia</t>
        </is>
      </c>
      <c r="L10" t="inlineStr">
        <is>
          <t>Ropa contaminada</t>
        </is>
      </c>
      <c r="P10" t="inlineStr">
        <is>
          <t>01-2027</t>
        </is>
      </c>
      <c r="Q10" t="inlineStr">
        <is>
          <t>Patrimonio arqueológico</t>
        </is>
      </c>
    </row>
    <row r="11">
      <c r="A11" t="inlineStr">
        <is>
          <t>Polvo y material particulado</t>
        </is>
      </c>
      <c r="E11" t="inlineStr">
        <is>
          <t>Libro de Comunicaciones</t>
        </is>
      </c>
      <c r="L11" t="inlineStr">
        <is>
          <t>Tierra contaminada</t>
        </is>
      </c>
      <c r="P11" t="inlineStr">
        <is>
          <t>02-2027</t>
        </is>
      </c>
      <c r="Q11" t="inlineStr">
        <is>
          <t>Relación con la comunidad</t>
        </is>
      </c>
    </row>
    <row r="12">
      <c r="A12" t="inlineStr">
        <is>
          <t>Ruido</t>
        </is>
      </c>
      <c r="E12" t="inlineStr">
        <is>
          <t>Otro</t>
        </is>
      </c>
      <c r="L12" t="inlineStr">
        <is>
          <t>Huaipe</t>
        </is>
      </c>
      <c r="P12" t="inlineStr">
        <is>
          <t>03-2027</t>
        </is>
      </c>
      <c r="Q12" t="inlineStr">
        <is>
          <t>Control de velocidad</t>
        </is>
      </c>
    </row>
    <row r="13">
      <c r="A13" t="inlineStr">
        <is>
          <t>Generador eléctrico</t>
        </is>
      </c>
      <c r="L13" t="inlineStr">
        <is>
          <t>Envases contaminados</t>
        </is>
      </c>
      <c r="P13" t="inlineStr">
        <is>
          <t>04-2027</t>
        </is>
      </c>
      <c r="Q13" t="inlineStr">
        <is>
          <t>Uso de hojas de seguridad</t>
        </is>
      </c>
    </row>
    <row r="14">
      <c r="A14" t="inlineStr">
        <is>
          <t>Combustibles</t>
        </is>
      </c>
      <c r="L14" t="inlineStr">
        <is>
          <t>Tubos fluorescentes</t>
        </is>
      </c>
      <c r="P14" t="inlineStr">
        <is>
          <t>05-2027</t>
        </is>
      </c>
      <c r="Q14" t="inlineStr">
        <is>
          <t>Procedimiento ante emergencias ambientales</t>
        </is>
      </c>
    </row>
    <row r="15">
      <c r="A15" t="inlineStr">
        <is>
          <t>Sustancias peligrosas</t>
        </is>
      </c>
      <c r="L15" t="inlineStr">
        <is>
          <t>Otros RESPEL</t>
        </is>
      </c>
      <c r="P15" t="inlineStr">
        <is>
          <t>06-2027</t>
        </is>
      </c>
    </row>
    <row r="16">
      <c r="A16" t="inlineStr">
        <is>
          <t>Derrames y contingencias</t>
        </is>
      </c>
      <c r="P16" t="inlineStr">
        <is>
          <t>07-2027</t>
        </is>
      </c>
    </row>
    <row r="17">
      <c r="A17" t="inlineStr">
        <is>
          <t>Mantención mecánica</t>
        </is>
      </c>
      <c r="P17" t="inlineStr">
        <is>
          <t>08-2027</t>
        </is>
      </c>
    </row>
    <row r="18">
      <c r="A18" t="inlineStr">
        <is>
          <t>Protección del suelo</t>
        </is>
      </c>
      <c r="P18" t="inlineStr">
        <is>
          <t>09-2027</t>
        </is>
      </c>
    </row>
    <row r="19">
      <c r="A19" t="inlineStr">
        <is>
          <t>Protección del agua</t>
        </is>
      </c>
      <c r="P19" t="inlineStr">
        <is>
          <t>10-2027</t>
        </is>
      </c>
    </row>
    <row r="20">
      <c r="A20" t="inlineStr">
        <is>
          <t>Río Ventisquero</t>
        </is>
      </c>
      <c r="P20" t="inlineStr">
        <is>
          <t>11-2027</t>
        </is>
      </c>
    </row>
    <row r="21">
      <c r="A21" t="inlineStr">
        <is>
          <t>Baños químicos</t>
        </is>
      </c>
      <c r="P21" t="inlineStr">
        <is>
          <t>12-2027</t>
        </is>
      </c>
    </row>
    <row r="22">
      <c r="A22" t="inlineStr">
        <is>
          <t>Fosas sépticas</t>
        </is>
      </c>
      <c r="P22" t="inlineStr">
        <is>
          <t>01-2028</t>
        </is>
      </c>
    </row>
    <row r="23">
      <c r="A23" t="inlineStr">
        <is>
          <t>Agua potable</t>
        </is>
      </c>
      <c r="P23" t="inlineStr">
        <is>
          <t>02-2028</t>
        </is>
      </c>
    </row>
    <row r="24">
      <c r="A24" t="inlineStr">
        <is>
          <t>Agua envasada</t>
        </is>
      </c>
      <c r="P24" t="inlineStr">
        <is>
          <t>03-2028</t>
        </is>
      </c>
    </row>
    <row r="25">
      <c r="A25" t="inlineStr">
        <is>
          <t>Residuos domiciliarios y asimilables</t>
        </is>
      </c>
      <c r="P25" t="inlineStr">
        <is>
          <t>04-2028</t>
        </is>
      </c>
    </row>
    <row r="26">
      <c r="A26" t="inlineStr">
        <is>
          <t>Residuos industriales no peligrosos</t>
        </is>
      </c>
      <c r="P26" t="inlineStr">
        <is>
          <t>05-2028</t>
        </is>
      </c>
    </row>
    <row r="27">
      <c r="A27" t="inlineStr">
        <is>
          <t>Residuos peligrosos</t>
        </is>
      </c>
    </row>
    <row r="28">
      <c r="A28" t="inlineStr">
        <is>
          <t>Bodega RESPEL</t>
        </is>
      </c>
    </row>
    <row r="29">
      <c r="A29" t="inlineStr">
        <is>
          <t>Patio de salvataje</t>
        </is>
      </c>
    </row>
    <row r="30">
      <c r="A30" t="inlineStr">
        <is>
          <t>Segregación de residuos</t>
        </is>
      </c>
    </row>
    <row r="31">
      <c r="A31" t="inlineStr">
        <is>
          <t>Transporte y disposición final</t>
        </is>
      </c>
    </row>
    <row r="32">
      <c r="A32" t="inlineStr">
        <is>
          <t>Declaración RCD</t>
        </is>
      </c>
    </row>
    <row r="33">
      <c r="A33" t="inlineStr">
        <is>
          <t>Declaración anual de emisiones</t>
        </is>
      </c>
    </row>
    <row r="34">
      <c r="A34" t="inlineStr">
        <is>
          <t>Control de plagas</t>
        </is>
      </c>
    </row>
    <row r="35">
      <c r="A35" t="inlineStr">
        <is>
          <t>Sanitización y desratización</t>
        </is>
      </c>
    </row>
    <row r="36">
      <c r="A36" t="inlineStr">
        <is>
          <t>Flora y fauna</t>
        </is>
      </c>
    </row>
    <row r="37">
      <c r="A37" t="inlineStr">
        <is>
          <t>Prohibición de caza y alimentación de fauna</t>
        </is>
      </c>
    </row>
    <row r="38">
      <c r="A38" t="inlineStr">
        <is>
          <t>Patrimonio arqueológico</t>
        </is>
      </c>
    </row>
    <row r="39">
      <c r="A39" t="inlineStr">
        <is>
          <t>Relaciones con la comunidad</t>
        </is>
      </c>
    </row>
    <row r="40">
      <c r="A40" t="inlineStr">
        <is>
          <t>ZOIT Aysén Patagonia Queulat</t>
        </is>
      </c>
    </row>
    <row r="41">
      <c r="A41" t="inlineStr">
        <is>
          <t>Señalización</t>
        </is>
      </c>
    </row>
    <row r="42">
      <c r="A42" t="inlineStr">
        <is>
          <t>Horarios de trabajo</t>
        </is>
      </c>
    </row>
    <row r="43">
      <c r="A43" t="inlineStr">
        <is>
          <t>Contratación de mano de obra local</t>
        </is>
      </c>
    </row>
    <row r="44">
      <c r="A44" t="inlineStr">
        <is>
          <t>Capacitación e inducción ambiental</t>
        </is>
      </c>
    </row>
    <row r="45">
      <c r="A45" t="inlineStr">
        <is>
          <t>Control documental</t>
        </is>
      </c>
    </row>
    <row r="46">
      <c r="A46" t="inlineStr">
        <is>
          <t>Abandono y cierre de la instalación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23" customWidth="1" min="8" max="8"/>
  </cols>
  <sheetData>
    <row r="1">
      <c r="A1" s="1" t="inlineStr">
        <is>
          <t>AUDITORÍA TÉCNICO-AMBIENTAL MENSUAL</t>
        </is>
      </c>
    </row>
    <row r="2">
      <c r="A2" s="2" t="inlineStr">
        <is>
          <t>Plan de Manejo Ambiental Específico para Instalación de Faenas Río Ventisquero, Rev. 1</t>
        </is>
      </c>
    </row>
    <row r="3"/>
    <row r="4">
      <c r="A4" s="3" t="inlineStr">
        <is>
          <t>Espacio logotipos mandante / ejecutora</t>
        </is>
      </c>
    </row>
    <row r="5"/>
    <row r="6"/>
    <row r="7"/>
    <row r="8"/>
    <row r="9"/>
    <row r="10">
      <c r="A10" s="4" t="inlineStr">
        <is>
          <t>Contrato:</t>
        </is>
      </c>
      <c r="B10" s="5" t="inlineStr">
        <is>
          <t>Terminación Mejoramiento Ruta 7 Norte Etapa II Pavimentación, sector Fiordo Queulat–Puente Chucao, tramo km 415,889 a km 433,193, comuna de Cisnes, provincia de Aysén, Región de Aysén</t>
        </is>
      </c>
      <c r="H10" t="inlineStr">
        <is>
          <t>Mes auditado (lista):</t>
        </is>
      </c>
    </row>
    <row r="11">
      <c r="A11" s="4" t="inlineStr">
        <is>
          <t>Instalación de faenas:</t>
        </is>
      </c>
      <c r="B11" s="5" t="inlineStr">
        <is>
          <t>Instalación de Faenas Río Ventisquero</t>
        </is>
      </c>
      <c r="H11">
        <f>Config!B3</f>
        <v/>
      </c>
    </row>
    <row r="12">
      <c r="A12" s="4" t="inlineStr">
        <is>
          <t>Empresa ejecutora:</t>
        </is>
      </c>
      <c r="B12" s="5" t="inlineStr">
        <is>
          <t>Constructora APIA SpA</t>
        </is>
      </c>
    </row>
    <row r="13">
      <c r="A13" s="4" t="inlineStr">
        <is>
          <t>Mandante:</t>
        </is>
      </c>
      <c r="B13" s="5" t="inlineStr">
        <is>
          <t>Validar con mandante / Inspección Fiscal</t>
        </is>
      </c>
    </row>
    <row r="14">
      <c r="A14" s="4" t="inlineStr">
        <is>
          <t>Región:</t>
        </is>
      </c>
      <c r="B14" s="5" t="inlineStr">
        <is>
          <t>Región de Aysén</t>
        </is>
      </c>
    </row>
    <row r="15">
      <c r="A15" s="4" t="inlineStr">
        <is>
          <t>Comuna:</t>
        </is>
      </c>
      <c r="B15" s="5" t="inlineStr">
        <is>
          <t>Comuna de Cisnes</t>
        </is>
      </c>
    </row>
    <row r="16">
      <c r="A16" s="4" t="inlineStr">
        <is>
          <t>Duración contractual:</t>
        </is>
      </c>
      <c r="B16" s="5" t="inlineStr">
        <is>
          <t>720 días (mayo 2026 – mayo 2028)</t>
        </is>
      </c>
    </row>
    <row r="17">
      <c r="A17" s="4" t="inlineStr">
        <is>
          <t>Periodo auditado:</t>
        </is>
      </c>
      <c r="B17" s="5" t="inlineStr"/>
    </row>
    <row r="18">
      <c r="A18" s="4" t="inlineStr">
        <is>
          <t>Mes y año de auditoría:</t>
        </is>
      </c>
      <c r="B18" s="5" t="inlineStr"/>
    </row>
    <row r="19">
      <c r="A19" s="4" t="inlineStr">
        <is>
          <t>Nombre del auditor:</t>
        </is>
      </c>
      <c r="B19" s="5" t="inlineStr"/>
    </row>
    <row r="20">
      <c r="A20" s="4" t="inlineStr">
        <is>
          <t>Cargo:</t>
        </is>
      </c>
      <c r="B20" s="5" t="inlineStr"/>
    </row>
    <row r="21">
      <c r="A21" s="4" t="inlineStr">
        <is>
          <t>Fecha de elaboración:</t>
        </is>
      </c>
      <c r="B21" s="5" t="inlineStr"/>
    </row>
    <row r="22">
      <c r="A22" s="4" t="inlineStr">
        <is>
          <t>Fecha de revisión:</t>
        </is>
      </c>
      <c r="B22" s="5" t="inlineStr"/>
    </row>
    <row r="23">
      <c r="A23" s="4" t="inlineStr">
        <is>
          <t>Fecha de aprobación:</t>
        </is>
      </c>
      <c r="B23" s="5" t="inlineStr"/>
    </row>
    <row r="24">
      <c r="A24" s="4" t="inlineStr">
        <is>
          <t>Estado general de la auditoría:</t>
        </is>
      </c>
      <c r="B24" s="5" t="inlineStr"/>
    </row>
    <row r="25">
      <c r="A25" s="4" t="inlineStr">
        <is>
          <t>Versión del archivo:</t>
        </is>
      </c>
      <c r="B25" s="5" t="inlineStr">
        <is>
          <t>1.0</t>
        </is>
      </c>
    </row>
    <row r="26"/>
    <row r="27">
      <c r="A27" s="6" t="inlineStr">
        <is>
          <t>ADVERTENCIA: Esta planilla constituye una herramienta de control y seguimiento. No reemplaza la revisión profesional de la normativa vigente, permisos, resoluciones, bases contractuales ni instrucciones de la Inspección Fiscal.</t>
        </is>
      </c>
    </row>
    <row r="28"/>
    <row r="29"/>
    <row r="30"/>
  </sheetData>
  <mergeCells count="20">
    <mergeCell ref="B16:F16"/>
    <mergeCell ref="B25:F25"/>
    <mergeCell ref="A4:D8"/>
    <mergeCell ref="A1:H1"/>
    <mergeCell ref="B22:F22"/>
    <mergeCell ref="A27:H30"/>
    <mergeCell ref="B18:F18"/>
    <mergeCell ref="B21:F21"/>
    <mergeCell ref="B12:F12"/>
    <mergeCell ref="B11:F11"/>
    <mergeCell ref="B23:F23"/>
    <mergeCell ref="B14:F14"/>
    <mergeCell ref="B17:F17"/>
    <mergeCell ref="B13:F13"/>
    <mergeCell ref="B10:F10"/>
    <mergeCell ref="A2:H2"/>
    <mergeCell ref="B19:F19"/>
    <mergeCell ref="B24:F24"/>
    <mergeCell ref="B20:F20"/>
    <mergeCell ref="B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</cols>
  <sheetData>
    <row r="1">
      <c r="A1" s="7" t="inlineStr">
        <is>
          <t>Parámetros de la auditoría mensual</t>
        </is>
      </c>
    </row>
    <row r="2">
      <c r="A2" t="inlineStr">
        <is>
          <t>Mes y año auditado</t>
        </is>
      </c>
      <c r="B2" t="inlineStr">
        <is>
          <t>05-2026</t>
        </is>
      </c>
    </row>
    <row r="3">
      <c r="A3" t="inlineStr">
        <is>
          <t>Referencia mes (celda vinculada)</t>
        </is>
      </c>
      <c r="B3">
        <f>B2</f>
        <v/>
      </c>
    </row>
    <row r="4">
      <c r="A4" t="inlineStr">
        <is>
          <t>Fecha referencia (último día mes)</t>
        </is>
      </c>
      <c r="B4">
        <f>FIN.MES(FECHA(VALOR(DERECHA(B2;4));VALOR(IZQUIERDA(B2;2));1);0)</f>
        <v/>
      </c>
    </row>
    <row r="5">
      <c r="A5" t="inlineStr">
        <is>
          <t>Nombre auditor</t>
        </is>
      </c>
      <c r="B5" t="inlineStr"/>
    </row>
    <row r="6">
      <c r="A6" t="inlineStr">
        <is>
          <t>Cargo auditor</t>
        </is>
      </c>
      <c r="B6" t="inlineStr">
        <is>
          <t>Encargado ambiental</t>
        </is>
      </c>
    </row>
    <row r="7"/>
    <row r="8">
      <c r="A8" t="inlineStr">
        <is>
          <t>Ponderación estados (editable)</t>
        </is>
      </c>
    </row>
    <row r="9">
      <c r="A9" t="inlineStr">
        <is>
          <t>Cumple</t>
        </is>
      </c>
      <c r="B9" t="n">
        <v>1</v>
      </c>
    </row>
    <row r="10">
      <c r="A10" t="inlineStr">
        <is>
          <t>Cumple parcialmente</t>
        </is>
      </c>
      <c r="B10" t="n">
        <v>0.5</v>
      </c>
    </row>
    <row r="11">
      <c r="A11" t="inlineStr">
        <is>
          <t>No cumple</t>
        </is>
      </c>
      <c r="B11" t="n">
        <v>0</v>
      </c>
    </row>
    <row r="12">
      <c r="A12" t="inlineStr">
        <is>
          <t>En proceso de regularización</t>
        </is>
      </c>
      <c r="B12" t="n">
        <v>0.25</v>
      </c>
    </row>
  </sheetData>
  <dataValidations count="1">
    <dataValidation sqref="B2" showDropDown="0" showInputMessage="0" showErrorMessage="0" allowBlank="1" errorTitle="Valor no válido" error="Seleccione un valor de la lista" type="list">
      <formula1>'_Listas'!$P$2:$P$26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INSTRUCTIVO DE USO — AUDITORÍA TÉCNICO-AMBIENTAL MENSUAL</t>
        </is>
      </c>
    </row>
    <row r="2">
      <c r="A2" t="inlineStr"/>
    </row>
    <row r="3">
      <c r="A3" s="4" t="inlineStr">
        <is>
          <t>1. CÓMO COMPLETAR LA PLANILLA</t>
        </is>
      </c>
    </row>
    <row r="4">
      <c r="A4" t="inlineStr">
        <is>
          <t xml:space="preserve">   a) En la hoja Config, seleccione el mes y año auditado.</t>
        </is>
      </c>
    </row>
    <row r="5">
      <c r="A5" t="inlineStr">
        <is>
          <t xml:space="preserve">   b) Revise el Catálogo de requisitos (referencia base del PMA Rev. 1).</t>
        </is>
      </c>
    </row>
    <row r="6">
      <c r="A6" t="inlineStr">
        <is>
          <t xml:space="preserve">   c) Complete la Matriz de auditoría mensual verificando cada requisito.</t>
        </is>
      </c>
    </row>
    <row r="7">
      <c r="A7" t="inlineStr">
        <is>
          <t xml:space="preserve">   d) Registre hallazgos en la hoja correspondiente y vincule el ID de requisito.</t>
        </is>
      </c>
    </row>
    <row r="8">
      <c r="A8" t="inlineStr">
        <is>
          <t xml:space="preserve">   e) Actualice permisos, residuos, agua/sanitarios, capacitaciones y registro fotográfico.</t>
        </is>
      </c>
    </row>
    <row r="9">
      <c r="A9" t="inlineStr">
        <is>
          <t xml:space="preserve">   f) Revise el Dashboard e Informe mensual automático antes de emitir el informe al mandante.</t>
        </is>
      </c>
    </row>
    <row r="10">
      <c r="A10" t="inlineStr"/>
    </row>
    <row r="11">
      <c r="A11" s="4" t="inlineStr">
        <is>
          <t>2. ESTADOS DE CUMPLIMIENTO</t>
        </is>
      </c>
    </row>
    <row r="12">
      <c r="A12" t="inlineStr">
        <is>
          <t xml:space="preserve">   • Cumple: evidencia objetiva demuestra cumplimiento total.</t>
        </is>
      </c>
    </row>
    <row r="13">
      <c r="A13" t="inlineStr">
        <is>
          <t xml:space="preserve">   • Cumple parcialmente: cumplimiento incompleto o con deficiencias menores.</t>
        </is>
      </c>
    </row>
    <row r="14">
      <c r="A14" t="inlineStr">
        <is>
          <t xml:space="preserve">   • No cumple: incumplimiento verificado.</t>
        </is>
      </c>
    </row>
    <row r="15">
      <c r="A15" t="inlineStr">
        <is>
          <t xml:space="preserve">   • No aplica: requisito no aplicable al periodo o instalación.</t>
        </is>
      </c>
    </row>
    <row r="16">
      <c r="A16" t="inlineStr">
        <is>
          <t xml:space="preserve">   • Pendiente de verificación: aún no verificado en el mes.</t>
        </is>
      </c>
    </row>
    <row r="17">
      <c r="A17" t="inlineStr">
        <is>
          <t xml:space="preserve">   • En proceso de regularización: acción correctiva en curso.</t>
        </is>
      </c>
    </row>
    <row r="18">
      <c r="A18" t="inlineStr"/>
    </row>
    <row r="19">
      <c r="A19" s="4" t="inlineStr">
        <is>
          <t>3. CLASIFICACIÓN DE HALLAZGOS</t>
        </is>
      </c>
    </row>
    <row r="20">
      <c r="A20" t="inlineStr">
        <is>
          <t xml:space="preserve">   • Crítico: riesgo ambiental alto o incumplimiento grave.</t>
        </is>
      </c>
    </row>
    <row r="21">
      <c r="A21" t="inlineStr">
        <is>
          <t xml:space="preserve">   • Mayor: incumplimiento significativo con plazo de corrección.</t>
        </is>
      </c>
    </row>
    <row r="22">
      <c r="A22" t="inlineStr">
        <is>
          <t xml:space="preserve">   • Menor: desviación de bajo impacto.</t>
        </is>
      </c>
    </row>
    <row r="23">
      <c r="A23" t="inlineStr">
        <is>
          <t xml:space="preserve">   • Observación: mejora recomendada sin incumplimiento formal.</t>
        </is>
      </c>
    </row>
    <row r="24">
      <c r="A24" t="inlineStr">
        <is>
          <t xml:space="preserve">   • Buena práctica: desempeño destacado.</t>
        </is>
      </c>
    </row>
    <row r="25">
      <c r="A25" t="inlineStr"/>
    </row>
    <row r="26">
      <c r="A26" s="4" t="inlineStr">
        <is>
          <t>4. REGISTRO DE EVIDENCIAS</t>
        </is>
      </c>
    </row>
    <row r="27">
      <c r="A27" t="inlineStr">
        <is>
          <t xml:space="preserve">   Describa la evidencia revisada, indique tipo, código documental y enlace digital o ruta de archivo.</t>
        </is>
      </c>
    </row>
    <row r="28">
      <c r="A28" t="inlineStr"/>
    </row>
    <row r="29">
      <c r="A29" s="4" t="inlineStr">
        <is>
          <t>5. GESTIÓN DE HALLAZGOS</t>
        </is>
      </c>
    </row>
    <row r="30">
      <c r="A30" t="inlineStr">
        <is>
          <t xml:space="preserve">   Todo incumplimiento relevante debe registrarse en 'Registro de hallazgos' con responsable y fechas.</t>
        </is>
      </c>
    </row>
    <row r="31">
      <c r="A31" t="inlineStr"/>
    </row>
    <row r="32">
      <c r="A32" s="4" t="inlineStr">
        <is>
          <t>6. FILTROS E INDICADORES</t>
        </is>
      </c>
    </row>
    <row r="33">
      <c r="A33" t="inlineStr">
        <is>
          <t xml:space="preserve">   Use filtros de tablas Excel. El Dashboard se actualiza automáticamente desde la Matriz y otras hojas.</t>
        </is>
      </c>
    </row>
    <row r="34">
      <c r="A34" t="inlineStr"/>
    </row>
    <row r="35">
      <c r="A35" s="4" t="inlineStr">
        <is>
          <t>7. HISTORIAL MENSUAL</t>
        </is>
      </c>
    </row>
    <row r="36">
      <c r="A36" t="inlineStr">
        <is>
          <t xml:space="preserve">   Duplique el archivo al cierre de cada mes (Archivo &gt; Guardar como) conservando el mes auditado.</t>
        </is>
      </c>
    </row>
    <row r="37">
      <c r="A37" t="inlineStr"/>
    </row>
    <row r="38">
      <c r="A38" s="7" t="inlineStr">
        <is>
          <t>INSTRUCTIVO EN 5 PASOS:</t>
        </is>
      </c>
    </row>
    <row r="39">
      <c r="A39" t="inlineStr">
        <is>
          <t xml:space="preserve">   Paso 1: Configurar mes auditado en hoja Config.</t>
        </is>
      </c>
    </row>
    <row r="40">
      <c r="A40" t="inlineStr">
        <is>
          <t xml:space="preserve">   Paso 2: Verificar requisitos en Matriz de auditoría mensual.</t>
        </is>
      </c>
    </row>
    <row r="41">
      <c r="A41" t="inlineStr">
        <is>
          <t xml:space="preserve">   Paso 3: Registrar hallazgos, documentos y evidencias.</t>
        </is>
      </c>
    </row>
    <row r="42">
      <c r="A42" t="inlineStr">
        <is>
          <t xml:space="preserve">   Paso 4: Revisar Dashboard e indicadores.</t>
        </is>
      </c>
    </row>
    <row r="43">
      <c r="A43" t="inlineStr">
        <is>
          <t xml:space="preserve">   Paso 5: Copiar resumen de Informe mensual al informe al mandante / IF.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25" customWidth="1" min="3" max="3"/>
    <col width="11" customWidth="1" min="4" max="4"/>
    <col width="27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45" customWidth="1" min="11" max="11"/>
    <col width="41" customWidth="1" min="12" max="12"/>
    <col width="38" customWidth="1" min="13" max="13"/>
    <col width="43" customWidth="1" min="14" max="14"/>
    <col width="30" customWidth="1" min="15" max="15"/>
    <col width="21" customWidth="1" min="16" max="16"/>
  </cols>
  <sheetData>
    <row r="1">
      <c r="A1" s="8" t="inlineStr">
        <is>
          <t>ID</t>
        </is>
      </c>
      <c r="B1" s="8" t="inlineStr">
        <is>
          <t>Componente ambiental</t>
        </is>
      </c>
      <c r="C1" s="8" t="inlineStr">
        <is>
          <t>Subcomponente</t>
        </is>
      </c>
      <c r="D1" s="8" t="inlineStr">
        <is>
          <t>Etapa</t>
        </is>
      </c>
      <c r="E1" s="8" t="inlineStr">
        <is>
          <t>Área/ubicación</t>
        </is>
      </c>
      <c r="F1" s="8" t="inlineStr">
        <is>
          <t>Requisito auditable</t>
        </is>
      </c>
      <c r="G1" s="8" t="inlineStr">
        <is>
          <t>Medida/obligación/compromiso</t>
        </is>
      </c>
      <c r="H1" s="8" t="inlineStr">
        <is>
          <t>Fuente documental</t>
        </is>
      </c>
      <c r="I1" s="8" t="inlineStr">
        <is>
          <t>Norma/permiso/referencia</t>
        </is>
      </c>
      <c r="J1" s="8" t="inlineStr">
        <is>
          <t>Frecuencia</t>
        </is>
      </c>
      <c r="K1" s="8" t="inlineStr">
        <is>
          <t>Indicador/criterio</t>
        </is>
      </c>
      <c r="L1" s="8" t="inlineStr">
        <is>
          <t>Método verificación</t>
        </is>
      </c>
      <c r="M1" s="8" t="inlineStr">
        <is>
          <t>Resultado esperado</t>
        </is>
      </c>
      <c r="N1" s="8" t="inlineStr">
        <is>
          <t>Tipo obligación</t>
        </is>
      </c>
      <c r="O1" s="8" t="inlineStr">
        <is>
          <t>Nivel certeza requisito</t>
        </is>
      </c>
      <c r="P1" s="8" t="inlineStr">
        <is>
          <t>Ponderación default</t>
        </is>
      </c>
    </row>
    <row r="2">
      <c r="A2" t="inlineStr">
        <is>
          <t>REQ-001</t>
        </is>
      </c>
      <c r="B2" t="inlineStr">
        <is>
          <t>Autorizaciones y permisos</t>
        </is>
      </c>
      <c r="C2" t="inlineStr">
        <is>
          <t>Plan de Manejo</t>
        </is>
      </c>
      <c r="D2" t="inlineStr">
        <is>
          <t>Operación</t>
        </is>
      </c>
      <c r="E2" t="inlineStr">
        <is>
          <t>Oficina ambiental</t>
        </is>
      </c>
      <c r="F2" t="inlineStr">
        <is>
          <t>Disponibilidad del PMA aprobado Rev. 1</t>
        </is>
      </c>
      <c r="G2" t="inlineStr">
        <is>
          <t>Mantener PMA aprobado disponible para fiscalización</t>
        </is>
      </c>
      <c r="H2" t="inlineStr">
        <is>
          <t>Plan de Manejo Ambiental Específico para Instalación de Faenas Río Ventisquero, Rev. 1</t>
        </is>
      </c>
      <c r="I2" t="inlineStr">
        <is>
          <t>Validar con normativa vigente o autoridad competente</t>
        </is>
      </c>
      <c r="J2" t="inlineStr">
        <is>
          <t>Mensual</t>
        </is>
      </c>
      <c r="K2" t="inlineStr">
        <is>
          <t>Documento vigente y accesible</t>
        </is>
      </c>
      <c r="L2" t="inlineStr">
        <is>
          <t>Revisión documental</t>
        </is>
      </c>
      <c r="M2" t="inlineStr">
        <is>
          <t>PMA Rev. 1 disponible y legible</t>
        </is>
      </c>
      <c r="N2" t="inlineStr">
        <is>
          <t>Obligación contenida en el Plan de Manejo</t>
        </is>
      </c>
      <c r="O2" t="inlineStr">
        <is>
          <t>Expreso en el Plan de Manejo</t>
        </is>
      </c>
      <c r="P2" t="n">
        <v>1</v>
      </c>
    </row>
    <row r="3">
      <c r="A3" t="inlineStr">
        <is>
          <t>REQ-002</t>
        </is>
      </c>
      <c r="B3" t="inlineStr">
        <is>
          <t>Autorizaciones y permisos</t>
        </is>
      </c>
      <c r="C3" t="inlineStr">
        <is>
          <t>Agua potable</t>
        </is>
      </c>
      <c r="D3" t="inlineStr">
        <is>
          <t>Operación</t>
        </is>
      </c>
      <c r="E3" t="inlineStr">
        <is>
          <t>Sistema AP</t>
        </is>
      </c>
      <c r="F3" t="inlineStr">
        <is>
          <t>Autorización sistema de agua potable particular</t>
        </is>
      </c>
      <c r="G3" t="inlineStr">
        <is>
          <t>Contar con aprobación sanitaria del sistema AP</t>
        </is>
      </c>
      <c r="H3" t="inlineStr">
        <is>
          <t>Plan de Manejo Ambiental Específico para Instalación de Faenas Río Ventisquero, Rev. 1</t>
        </is>
      </c>
      <c r="I3" t="inlineStr">
        <is>
          <t>DS 594 / Validar con SEREMI de Salud</t>
        </is>
      </c>
      <c r="J3" t="inlineStr">
        <is>
          <t>Mensual</t>
        </is>
      </c>
      <c r="K3" t="inlineStr">
        <is>
          <t>Resolución o certificado vigente</t>
        </is>
      </c>
      <c r="L3" t="inlineStr">
        <is>
          <t>Revisión documental</t>
        </is>
      </c>
      <c r="M3" t="inlineStr">
        <is>
          <t>Autorización vigente disponible</t>
        </is>
      </c>
      <c r="N3" t="inlineStr">
        <is>
          <t>Obligación contenida en el Plan de Manejo</t>
        </is>
      </c>
      <c r="O3" t="inlineStr">
        <is>
          <t>Expreso en el Plan de Manejo</t>
        </is>
      </c>
      <c r="P3" t="n">
        <v>1</v>
      </c>
    </row>
    <row r="4">
      <c r="A4" t="inlineStr">
        <is>
          <t>REQ-003</t>
        </is>
      </c>
      <c r="B4" t="inlineStr">
        <is>
          <t>Autorizaciones y permisos</t>
        </is>
      </c>
      <c r="C4" t="inlineStr">
        <is>
          <t>Alcantarillado</t>
        </is>
      </c>
      <c r="D4" t="inlineStr">
        <is>
          <t>Operación</t>
        </is>
      </c>
      <c r="E4" t="inlineStr">
        <is>
          <t>Sistema AS</t>
        </is>
      </c>
      <c r="F4" t="inlineStr">
        <is>
          <t>Autorización sistema de alcantarillado particular</t>
        </is>
      </c>
      <c r="G4" t="inlineStr">
        <is>
          <t>Contar con aprobación del sistema AS</t>
        </is>
      </c>
      <c r="H4" t="inlineStr">
        <is>
          <t>Plan de Manejo Ambiental Específico para Instalación de Faenas Río Ventisquero, Rev. 1</t>
        </is>
      </c>
      <c r="I4" t="inlineStr">
        <is>
          <t>Validar con SEREMI de Salud</t>
        </is>
      </c>
      <c r="J4" t="inlineStr">
        <is>
          <t>Mensual</t>
        </is>
      </c>
      <c r="K4" t="inlineStr">
        <is>
          <t>Resolución vigente</t>
        </is>
      </c>
      <c r="L4" t="inlineStr">
        <is>
          <t>Revisión documental</t>
        </is>
      </c>
      <c r="M4" t="inlineStr">
        <is>
          <t>Autorización disponible y vigente</t>
        </is>
      </c>
      <c r="N4" t="inlineStr">
        <is>
          <t>Obligación contenida en el Plan de Manejo</t>
        </is>
      </c>
      <c r="O4" t="inlineStr">
        <is>
          <t>Expreso en el Plan de Manejo</t>
        </is>
      </c>
      <c r="P4" t="n">
        <v>1</v>
      </c>
    </row>
    <row r="5">
      <c r="A5" t="inlineStr">
        <is>
          <t>REQ-004</t>
        </is>
      </c>
      <c r="B5" t="inlineStr">
        <is>
          <t>Autorizaciones y permisos</t>
        </is>
      </c>
      <c r="C5" t="inlineStr">
        <is>
          <t>Bodega RESPEL</t>
        </is>
      </c>
      <c r="D5" t="inlineStr">
        <is>
          <t>Operación</t>
        </is>
      </c>
      <c r="E5" t="inlineStr">
        <is>
          <t>Bodega RESPEL</t>
        </is>
      </c>
      <c r="F5" t="inlineStr">
        <is>
          <t>Autorización bodega de residuos peligrosos</t>
        </is>
      </c>
      <c r="G5" t="inlineStr">
        <is>
          <t>Bodega RESPEL autorizada por autoridad competente</t>
        </is>
      </c>
      <c r="H5" t="inlineStr">
        <is>
          <t>Plan de Manejo Ambiental Específico para Instalación de Faenas Río Ventisquero, Rev. 1</t>
        </is>
      </c>
      <c r="I5" t="inlineStr">
        <is>
          <t>DS 148 / Validar con autoridad competente</t>
        </is>
      </c>
      <c r="J5" t="inlineStr">
        <is>
          <t>Mensual</t>
        </is>
      </c>
      <c r="K5" t="inlineStr">
        <is>
          <t>Autorización vigente en sitio</t>
        </is>
      </c>
      <c r="L5" t="inlineStr">
        <is>
          <t>Inspección y revisión documental</t>
        </is>
      </c>
      <c r="M5" t="inlineStr">
        <is>
          <t>Autorización RESPEL vigente</t>
        </is>
      </c>
      <c r="N5" t="inlineStr">
        <is>
          <t>Obligación contenida en el Plan de Manejo</t>
        </is>
      </c>
      <c r="O5" t="inlineStr">
        <is>
          <t>Expreso en el Plan de Manejo</t>
        </is>
      </c>
      <c r="P5" t="n">
        <v>1</v>
      </c>
    </row>
    <row r="6">
      <c r="A6" t="inlineStr">
        <is>
          <t>REQ-005</t>
        </is>
      </c>
      <c r="B6" t="inlineStr">
        <is>
          <t>Autorizaciones y permisos</t>
        </is>
      </c>
      <c r="C6" t="inlineStr">
        <is>
          <t>Residuos no peligrosos</t>
        </is>
      </c>
      <c r="D6" t="inlineStr">
        <is>
          <t>Operación</t>
        </is>
      </c>
      <c r="E6" t="inlineStr">
        <is>
          <t>Patio de salvataje</t>
        </is>
      </c>
      <c r="F6" t="inlineStr">
        <is>
          <t>Autorización bodega/patio residuos no peligrosos</t>
        </is>
      </c>
      <c r="G6" t="inlineStr">
        <is>
          <t>Patio o bodega autorizada para RNP</t>
        </is>
      </c>
      <c r="H6" t="inlineStr">
        <is>
          <t>Plan de Manejo Ambiental Específico para Instalación de Faenas Río Ventisquero, Rev. 1</t>
        </is>
      </c>
      <c r="I6" t="inlineStr">
        <is>
          <t>Validar con normativa vigente o autoridad competente</t>
        </is>
      </c>
      <c r="J6" t="inlineStr">
        <is>
          <t>Mensual</t>
        </is>
      </c>
      <c r="K6" t="inlineStr">
        <is>
          <t>Resolución o antecedente disponible</t>
        </is>
      </c>
      <c r="L6" t="inlineStr">
        <is>
          <t>Revisión documental</t>
        </is>
      </c>
      <c r="M6" t="inlineStr">
        <is>
          <t>Autorización disponible</t>
        </is>
      </c>
      <c r="N6" t="inlineStr">
        <is>
          <t>Obligación contenida en el Plan de Manejo</t>
        </is>
      </c>
      <c r="O6" t="inlineStr">
        <is>
          <t>Derivado del Plan de Manejo</t>
        </is>
      </c>
      <c r="P6" t="n">
        <v>1</v>
      </c>
    </row>
    <row r="7">
      <c r="A7" t="inlineStr">
        <is>
          <t>REQ-006</t>
        </is>
      </c>
      <c r="B7" t="inlineStr">
        <is>
          <t>Autorizaciones y permisos</t>
        </is>
      </c>
      <c r="C7" t="inlineStr">
        <is>
          <t>Control de plagas</t>
        </is>
      </c>
      <c r="D7" t="inlineStr">
        <is>
          <t>Operación</t>
        </is>
      </c>
      <c r="E7" t="inlineStr">
        <is>
          <t>Instalación completa</t>
        </is>
      </c>
      <c r="F7" t="inlineStr">
        <is>
          <t>Resolución sanitaria control de plagas</t>
        </is>
      </c>
      <c r="G7" t="inlineStr">
        <is>
          <t>Servicio de control de plagas con resolución sanitaria</t>
        </is>
      </c>
      <c r="H7" t="inlineStr">
        <is>
          <t>Plan de Manejo Ambiental Específico para Instalación de Faenas Río Ventisquero, Rev. 1</t>
        </is>
      </c>
      <c r="I7" t="inlineStr">
        <is>
          <t>Validar con SEREMI de Salud</t>
        </is>
      </c>
      <c r="J7" t="inlineStr">
        <is>
          <t>Mensual</t>
        </is>
      </c>
      <c r="K7" t="inlineStr">
        <is>
          <t>Resolución vigente del prestador</t>
        </is>
      </c>
      <c r="L7" t="inlineStr">
        <is>
          <t>Revisión documental</t>
        </is>
      </c>
      <c r="M7" t="inlineStr">
        <is>
          <t>Resolución sanitaria vigente</t>
        </is>
      </c>
      <c r="N7" t="inlineStr">
        <is>
          <t>Obligación contenida en el Plan de Manejo</t>
        </is>
      </c>
      <c r="O7" t="inlineStr">
        <is>
          <t>Expreso en el Plan de Manejo</t>
        </is>
      </c>
      <c r="P7" t="n">
        <v>1</v>
      </c>
    </row>
    <row r="8">
      <c r="A8" t="inlineStr">
        <is>
          <t>REQ-007</t>
        </is>
      </c>
      <c r="B8" t="inlineStr">
        <is>
          <t>Autorizaciones y permisos</t>
        </is>
      </c>
      <c r="C8" t="inlineStr">
        <is>
          <t>Baños y fosas</t>
        </is>
      </c>
      <c r="D8" t="inlineStr">
        <is>
          <t>Operación</t>
        </is>
      </c>
      <c r="E8" t="inlineStr">
        <is>
          <t>Sanitarios</t>
        </is>
      </c>
      <c r="F8" t="inlineStr">
        <is>
          <t>Autorización limpieza baños químicos y fosas sépticas</t>
        </is>
      </c>
      <c r="G8" t="inlineStr">
        <is>
          <t>Empresa autorizada para servicios sanitarios</t>
        </is>
      </c>
      <c r="H8" t="inlineStr">
        <is>
          <t>Plan de Manejo Ambiental Específico para Instalación de Faenas Río Ventisquero, Rev. 1</t>
        </is>
      </c>
      <c r="I8" t="inlineStr">
        <is>
          <t>Validar con SEREMI de Salud</t>
        </is>
      </c>
      <c r="J8" t="inlineStr">
        <is>
          <t>Mensual</t>
        </is>
      </c>
      <c r="K8" t="inlineStr">
        <is>
          <t>Certificado/resolución del prestador</t>
        </is>
      </c>
      <c r="L8" t="inlineStr">
        <is>
          <t>Revisión documental</t>
        </is>
      </c>
      <c r="M8" t="inlineStr">
        <is>
          <t>Autorización sanitaria vigente</t>
        </is>
      </c>
      <c r="N8" t="inlineStr">
        <is>
          <t>Obligación contenida en el Plan de Manejo</t>
        </is>
      </c>
      <c r="O8" t="inlineStr">
        <is>
          <t>Expreso en el Plan de Manejo</t>
        </is>
      </c>
      <c r="P8" t="n">
        <v>1</v>
      </c>
    </row>
    <row r="9">
      <c r="A9" t="inlineStr">
        <is>
          <t>REQ-008</t>
        </is>
      </c>
      <c r="B9" t="inlineStr">
        <is>
          <t>Autorizaciones y permisos</t>
        </is>
      </c>
      <c r="C9" t="inlineStr">
        <is>
          <t>Agua envasada</t>
        </is>
      </c>
      <c r="D9" t="inlineStr">
        <is>
          <t>Operación</t>
        </is>
      </c>
      <c r="E9" t="inlineStr">
        <is>
          <t>Comedor/bodega</t>
        </is>
      </c>
      <c r="F9" t="inlineStr">
        <is>
          <t>Autorización proveedor agua envasada</t>
        </is>
      </c>
      <c r="G9" t="inlineStr">
        <is>
          <t>Proveedor con autorización sanitaria</t>
        </is>
      </c>
      <c r="H9" t="inlineStr">
        <is>
          <t>Plan de Manejo Ambiental Específico para Instalación de Faenas Río Ventisquero, Rev. 1</t>
        </is>
      </c>
      <c r="I9" t="inlineStr">
        <is>
          <t>Validar con SEREMI de Salud</t>
        </is>
      </c>
      <c r="J9" t="inlineStr">
        <is>
          <t>Mensual</t>
        </is>
      </c>
      <c r="K9" t="inlineStr">
        <is>
          <t>Certificado vigente</t>
        </is>
      </c>
      <c r="L9" t="inlineStr">
        <is>
          <t>Revisión documental</t>
        </is>
      </c>
      <c r="M9" t="inlineStr">
        <is>
          <t>Autorización disponible</t>
        </is>
      </c>
      <c r="N9" t="inlineStr">
        <is>
          <t>Obligación contenida en el Plan de Manejo</t>
        </is>
      </c>
      <c r="O9" t="inlineStr">
        <is>
          <t>Derivado del Plan de Manejo</t>
        </is>
      </c>
      <c r="P9" t="n">
        <v>1</v>
      </c>
    </row>
    <row r="10">
      <c r="A10" t="inlineStr">
        <is>
          <t>REQ-009</t>
        </is>
      </c>
      <c r="B10" t="inlineStr">
        <is>
          <t>Autorizaciones y permisos</t>
        </is>
      </c>
      <c r="C10" t="inlineStr">
        <is>
          <t>Alimentación</t>
        </is>
      </c>
      <c r="D10" t="inlineStr">
        <is>
          <t>Operación</t>
        </is>
      </c>
      <c r="E10" t="inlineStr">
        <is>
          <t>Comedor</t>
        </is>
      </c>
      <c r="F10" t="inlineStr">
        <is>
          <t>Autorización servicio de alimentación</t>
        </is>
      </c>
      <c r="G10" t="inlineStr">
        <is>
          <t>Servicio de alimentación autorizado</t>
        </is>
      </c>
      <c r="H10" t="inlineStr">
        <is>
          <t>Plan de Manejo Ambiental Específico para Instalación de Faenas Río Ventisquero, Rev. 1</t>
        </is>
      </c>
      <c r="I10" t="inlineStr">
        <is>
          <t>Validar con SEREMI de Salud</t>
        </is>
      </c>
      <c r="J10" t="inlineStr">
        <is>
          <t>Mensual</t>
        </is>
      </c>
      <c r="K10" t="inlineStr">
        <is>
          <t>Resolución sanitaria vigente</t>
        </is>
      </c>
      <c r="L10" t="inlineStr">
        <is>
          <t>Revisión documental</t>
        </is>
      </c>
      <c r="M10" t="inlineStr">
        <is>
          <t>Autorización vigente</t>
        </is>
      </c>
      <c r="N10" t="inlineStr">
        <is>
          <t>Obligación contenida en el Plan de Manejo</t>
        </is>
      </c>
      <c r="O10" t="inlineStr">
        <is>
          <t>Derivado del Plan de Manejo</t>
        </is>
      </c>
      <c r="P10" t="n">
        <v>1</v>
      </c>
    </row>
    <row r="11">
      <c r="A11" t="inlineStr">
        <is>
          <t>REQ-010</t>
        </is>
      </c>
      <c r="B11" t="inlineStr">
        <is>
          <t>Autorizaciones y permisos</t>
        </is>
      </c>
      <c r="C11" t="inlineStr">
        <is>
          <t>Laboratorio</t>
        </is>
      </c>
      <c r="D11" t="inlineStr">
        <is>
          <t>Operación</t>
        </is>
      </c>
      <c r="E11" t="inlineStr">
        <is>
          <t>Laboratorio</t>
        </is>
      </c>
      <c r="F11" t="inlineStr">
        <is>
          <t>Autorización o antecedentes del laboratorio</t>
        </is>
      </c>
      <c r="G11" t="inlineStr">
        <is>
          <t>Laboratorio con respaldo documental</t>
        </is>
      </c>
      <c r="H11" t="inlineStr">
        <is>
          <t>Plan de Manejo Ambiental Específico para Instalación de Faenas Río Ventisquero, Rev. 1</t>
        </is>
      </c>
      <c r="I11" t="inlineStr">
        <is>
          <t>Validar con normativa vigente o autoridad competente</t>
        </is>
      </c>
      <c r="J11" t="inlineStr">
        <is>
          <t>Mensual</t>
        </is>
      </c>
      <c r="K11" t="inlineStr">
        <is>
          <t>Antecedentes disponibles</t>
        </is>
      </c>
      <c r="L11" t="inlineStr">
        <is>
          <t>Revisión documental</t>
        </is>
      </c>
      <c r="M11" t="inlineStr">
        <is>
          <t>Documentación disponible</t>
        </is>
      </c>
      <c r="N11" t="inlineStr">
        <is>
          <t>Antecedente documental pendiente</t>
        </is>
      </c>
      <c r="O11" t="inlineStr">
        <is>
          <t>Requiere validación</t>
        </is>
      </c>
      <c r="P11" t="n">
        <v>1</v>
      </c>
    </row>
    <row r="12">
      <c r="A12" t="inlineStr">
        <is>
          <t>REQ-011</t>
        </is>
      </c>
      <c r="B12" t="inlineStr">
        <is>
          <t>Autorizaciones y permisos</t>
        </is>
      </c>
      <c r="C12" t="inlineStr">
        <is>
          <t>Equipos radiactivos</t>
        </is>
      </c>
      <c r="D12" t="inlineStr">
        <is>
          <t>Operación</t>
        </is>
      </c>
      <c r="E12" t="inlineStr">
        <is>
          <t>Bunker/laboratorio</t>
        </is>
      </c>
      <c r="F12" t="inlineStr">
        <is>
          <t>Autorización bunker o almacenamiento equipos radiactivos</t>
        </is>
      </c>
      <c r="G12" t="inlineStr">
        <is>
          <t>Si aplica, contar con autorización CCHEN</t>
        </is>
      </c>
      <c r="H12" t="inlineStr">
        <is>
          <t>Plan de Manejo Ambiental Específico para Instalación de Faenas Río Ventisquero, Rev. 1</t>
        </is>
      </c>
      <c r="I12" t="inlineStr">
        <is>
          <t>Validar con CCHEN si aplica</t>
        </is>
      </c>
      <c r="J12" t="inlineStr">
        <is>
          <t>Mensual</t>
        </is>
      </c>
      <c r="K12" t="inlineStr">
        <is>
          <t>Autorización o declaración de no aplicabilidad</t>
        </is>
      </c>
      <c r="L12" t="inlineStr">
        <is>
          <t>Revisión documental</t>
        </is>
      </c>
      <c r="M12" t="inlineStr">
        <is>
          <t>Cumplimiento o N/A documentado</t>
        </is>
      </c>
      <c r="N12" t="inlineStr">
        <is>
          <t>Antecedente documental pendiente</t>
        </is>
      </c>
      <c r="O12" t="inlineStr">
        <is>
          <t>Requiere validación</t>
        </is>
      </c>
      <c r="P12" t="n">
        <v>1</v>
      </c>
    </row>
    <row r="13">
      <c r="A13" t="inlineStr">
        <is>
          <t>REQ-012</t>
        </is>
      </c>
      <c r="B13" t="inlineStr">
        <is>
          <t>Autorizaciones y permisos</t>
        </is>
      </c>
      <c r="C13" t="inlineStr">
        <is>
          <t>Grupo generador</t>
        </is>
      </c>
      <c r="D13" t="inlineStr">
        <is>
          <t>Operación</t>
        </is>
      </c>
      <c r="E13" t="inlineStr">
        <is>
          <t>Planta eléctrica</t>
        </is>
      </c>
      <c r="F13" t="inlineStr">
        <is>
          <t>Certificados y antecedentes del grupo generador</t>
        </is>
      </c>
      <c r="G13" t="inlineStr">
        <is>
          <t>Documentación técnica y operacional del generador</t>
        </is>
      </c>
      <c r="H13" t="inlineStr">
        <is>
          <t>Plan de Manejo Ambiental Específico para Instalación de Faenas Río Ventisquero, Rev. 1</t>
        </is>
      </c>
      <c r="I13" t="inlineStr">
        <is>
          <t>Validar con normativa vigente o autoridad competente</t>
        </is>
      </c>
      <c r="J13" t="inlineStr">
        <is>
          <t>Mensual</t>
        </is>
      </c>
      <c r="K13" t="inlineStr">
        <is>
          <t>Certificados disponibles</t>
        </is>
      </c>
      <c r="L13" t="inlineStr">
        <is>
          <t>Revisión documental e inspección</t>
        </is>
      </c>
      <c r="M13" t="inlineStr">
        <is>
          <t>Antecedentes completos</t>
        </is>
      </c>
      <c r="N13" t="inlineStr">
        <is>
          <t>Obligación contenida en el Plan de Manejo</t>
        </is>
      </c>
      <c r="O13" t="inlineStr">
        <is>
          <t>Derivado del Plan de Manejo</t>
        </is>
      </c>
      <c r="P13" t="n">
        <v>1</v>
      </c>
    </row>
    <row r="14">
      <c r="A14" t="inlineStr">
        <is>
          <t>REQ-013</t>
        </is>
      </c>
      <c r="B14" t="inlineStr">
        <is>
          <t>Declaración anual de emisiones</t>
        </is>
      </c>
      <c r="C14" t="inlineStr">
        <is>
          <t>RETC</t>
        </is>
      </c>
      <c r="D14" t="inlineStr">
        <is>
          <t>Operación</t>
        </is>
      </c>
      <c r="E14" t="inlineStr">
        <is>
          <t>Oficina ambiental</t>
        </is>
      </c>
      <c r="F14" t="inlineStr">
        <is>
          <t>Declaración emisiones atmosféricas RETC</t>
        </is>
      </c>
      <c r="G14" t="inlineStr">
        <is>
          <t>Declarar emisiones cuando corresponda (ene-abr 2027)</t>
        </is>
      </c>
      <c r="H14" t="inlineStr">
        <is>
          <t>Plan de Manejo Ambiental Específico para Instalación de Faenas Río Ventisquero, Rev. 1</t>
        </is>
      </c>
      <c r="I14" t="inlineStr">
        <is>
          <t>Ley 19.300 / RETC MMA</t>
        </is>
      </c>
      <c r="J14" t="inlineStr">
        <is>
          <t>Anual</t>
        </is>
      </c>
      <c r="K14" t="inlineStr">
        <is>
          <t>Declaración presentada en plazo</t>
        </is>
      </c>
      <c r="L14" t="inlineStr">
        <is>
          <t>Revisión RETC</t>
        </is>
      </c>
      <c r="M14" t="inlineStr">
        <is>
          <t>Declaración presentada o planificado</t>
        </is>
      </c>
      <c r="N14" t="inlineStr">
        <is>
          <t>Exigencia legal o reglamentaria</t>
        </is>
      </c>
      <c r="O14" t="inlineStr">
        <is>
          <t>Norma o permiso aplicable</t>
        </is>
      </c>
      <c r="P14" t="n">
        <v>1</v>
      </c>
    </row>
    <row r="15">
      <c r="A15" t="inlineStr">
        <is>
          <t>REQ-014</t>
        </is>
      </c>
      <c r="B15" t="inlineStr">
        <is>
          <t>Autorizaciones y permisos</t>
        </is>
      </c>
      <c r="C15" t="inlineStr">
        <is>
          <t>Combustibles</t>
        </is>
      </c>
      <c r="D15" t="inlineStr">
        <is>
          <t>Operación</t>
        </is>
      </c>
      <c r="E15" t="inlineStr">
        <is>
          <t>Estanque combustible</t>
        </is>
      </c>
      <c r="F15" t="inlineStr">
        <is>
          <t>Autorización transporte de combustibles</t>
        </is>
      </c>
      <c r="G15" t="inlineStr">
        <is>
          <t>Transportista y operación con respaldo legal</t>
        </is>
      </c>
      <c r="H15" t="inlineStr">
        <is>
          <t>Plan de Manejo Ambiental Específico para Instalación de Faenas Río Ventisquero, Rev. 1</t>
        </is>
      </c>
      <c r="I15" t="inlineStr">
        <is>
          <t>Validar con normativa vigente o autoridad competente</t>
        </is>
      </c>
      <c r="J15" t="inlineStr">
        <is>
          <t>Mensual</t>
        </is>
      </c>
      <c r="K15" t="inlineStr">
        <is>
          <t>Autorizaciones del transportista</t>
        </is>
      </c>
      <c r="L15" t="inlineStr">
        <is>
          <t>Revisión documental</t>
        </is>
      </c>
      <c r="M15" t="inlineStr">
        <is>
          <t>Documentos vigentes</t>
        </is>
      </c>
      <c r="N15" t="inlineStr">
        <is>
          <t>Obligación contenida en el Plan de Manejo</t>
        </is>
      </c>
      <c r="O15" t="inlineStr">
        <is>
          <t>Derivado del Plan de Manejo</t>
        </is>
      </c>
      <c r="P15" t="n">
        <v>1</v>
      </c>
    </row>
    <row r="16">
      <c r="A16" t="inlineStr">
        <is>
          <t>REQ-015</t>
        </is>
      </c>
      <c r="B16" t="inlineStr">
        <is>
          <t>Control documental</t>
        </is>
      </c>
      <c r="C16" t="inlineStr">
        <is>
          <t>Libro de Comunicaciones</t>
        </is>
      </c>
      <c r="D16" t="inlineStr">
        <is>
          <t>Operación</t>
        </is>
      </c>
      <c r="E16" t="inlineStr">
        <is>
          <t>Oficina de obra</t>
        </is>
      </c>
      <c r="F16" t="inlineStr">
        <is>
          <t>Registro entrega documental al mandante</t>
        </is>
      </c>
      <c r="G16" t="inlineStr">
        <is>
          <t>Comunicaciones al mandante vía Libro de Comunicaciones</t>
        </is>
      </c>
      <c r="H16" t="inlineStr">
        <is>
          <t>Plan de Manejo Ambiental Específico para Instalación de Faenas Río Ventisquero, Rev. 1</t>
        </is>
      </c>
      <c r="I16" t="inlineStr">
        <is>
          <t>Bases contractuales</t>
        </is>
      </c>
      <c r="J16" t="inlineStr">
        <is>
          <t>Mensual</t>
        </is>
      </c>
      <c r="K16" t="inlineStr">
        <is>
          <t>Folio registrado</t>
        </is>
      </c>
      <c r="L16" t="inlineStr">
        <is>
          <t>Revisión Libro de Comunicaciones</t>
        </is>
      </c>
      <c r="M16" t="inlineStr">
        <is>
          <t>Comunicaciones registradas</t>
        </is>
      </c>
      <c r="N16" t="inlineStr">
        <is>
          <t>Compromiso contractual</t>
        </is>
      </c>
      <c r="O16" t="inlineStr">
        <is>
          <t>Derivado del Plan de Manejo</t>
        </is>
      </c>
      <c r="P16" t="n">
        <v>1</v>
      </c>
    </row>
    <row r="17">
      <c r="A17" t="inlineStr">
        <is>
          <t>REQ-016</t>
        </is>
      </c>
      <c r="B17" t="inlineStr">
        <is>
          <t>Emisiones atmosféricas</t>
        </is>
      </c>
      <c r="C17" t="inlineStr">
        <is>
          <t>Vehículos</t>
        </is>
      </c>
      <c r="D17" t="inlineStr">
        <is>
          <t>Operación</t>
        </is>
      </c>
      <c r="E17" t="inlineStr">
        <is>
          <t>Accesos y vías internas</t>
        </is>
      </c>
      <c r="F17" t="inlineStr">
        <is>
          <t>Estado técnico de camionetas, camiones y maquinaria</t>
        </is>
      </c>
      <c r="G17" t="inlineStr">
        <is>
          <t>Equipos con revisión técnica y permisos vigentes</t>
        </is>
      </c>
      <c r="H17" t="inlineStr">
        <is>
          <t>Plan de Manejo Ambiental Específico para Instalación de Faenas Río Ventisquero, Rev. 1</t>
        </is>
      </c>
      <c r="I17" t="inlineStr">
        <is>
          <t>Validar normativa vehicular vigente</t>
        </is>
      </c>
      <c r="J17" t="inlineStr">
        <is>
          <t>Mensual</t>
        </is>
      </c>
      <c r="K17" t="inlineStr">
        <is>
          <t>Permisos y revisión al día</t>
        </is>
      </c>
      <c r="L17" t="inlineStr">
        <is>
          <t>Inspección visual y revisión documental</t>
        </is>
      </c>
      <c r="M17" t="inlineStr">
        <is>
          <t>Sin emisiones visibles anómalas</t>
        </is>
      </c>
      <c r="N17" t="inlineStr">
        <is>
          <t>Obligación contenida en el Plan de Manejo</t>
        </is>
      </c>
      <c r="O17" t="inlineStr">
        <is>
          <t>Expreso en el Plan de Manejo</t>
        </is>
      </c>
      <c r="P17" t="n">
        <v>1</v>
      </c>
    </row>
    <row r="18">
      <c r="A18" t="inlineStr">
        <is>
          <t>REQ-017</t>
        </is>
      </c>
      <c r="B18" t="inlineStr">
        <is>
          <t>Emisiones atmosféricas</t>
        </is>
      </c>
      <c r="C18" t="inlineStr">
        <is>
          <t>Control operacional</t>
        </is>
      </c>
      <c r="D18" t="inlineStr">
        <is>
          <t>Operación</t>
        </is>
      </c>
      <c r="E18" t="inlineStr">
        <is>
          <t>Instalación completa</t>
        </is>
      </c>
      <c r="F18" t="inlineStr">
        <is>
          <t>Control de emisiones visibles</t>
        </is>
      </c>
      <c r="G18" t="inlineStr">
        <is>
          <t>Ausencia de humo visible anormal en equipos</t>
        </is>
      </c>
      <c r="H18" t="inlineStr">
        <is>
          <t>Plan de Manejo Ambiental Específico para Instalación de Faenas Río Ventisquero, Rev. 1</t>
        </is>
      </c>
      <c r="I18" t="inlineStr">
        <is>
          <t>Plan de Manejo Ambiental Específico para Instalación de Faenas Río Ventisquero, Rev. 1</t>
        </is>
      </c>
      <c r="J18" t="inlineStr">
        <is>
          <t>Semanal</t>
        </is>
      </c>
      <c r="K18" t="inlineStr">
        <is>
          <t>Sin humo negro persistente</t>
        </is>
      </c>
      <c r="L18" t="inlineStr">
        <is>
          <t>Inspección visual</t>
        </is>
      </c>
      <c r="M18" t="inlineStr">
        <is>
          <t>Emisiones controladas</t>
        </is>
      </c>
      <c r="N18" t="inlineStr">
        <is>
          <t>Obligación contenida en el Plan de Manejo</t>
        </is>
      </c>
      <c r="O18" t="inlineStr">
        <is>
          <t>Expreso en el Plan de Manejo</t>
        </is>
      </c>
      <c r="P18" t="n">
        <v>1</v>
      </c>
    </row>
    <row r="19">
      <c r="A19" t="inlineStr">
        <is>
          <t>REQ-018</t>
        </is>
      </c>
      <c r="B19" t="inlineStr">
        <is>
          <t>Polvo y material particulado</t>
        </is>
      </c>
      <c r="C19" t="inlineStr">
        <is>
          <t>Control de polvo</t>
        </is>
      </c>
      <c r="D19" t="inlineStr">
        <is>
          <t>Operación</t>
        </is>
      </c>
      <c r="E19" t="inlineStr">
        <is>
          <t>Accesos y caminos</t>
        </is>
      </c>
      <c r="F19" t="inlineStr">
        <is>
          <t>Control de polvo en accesos y caminos</t>
        </is>
      </c>
      <c r="G19" t="inlineStr">
        <is>
          <t>Riego con camión aljibe cuando corresponda</t>
        </is>
      </c>
      <c r="H19" t="inlineStr">
        <is>
          <t>Plan de Manejo Ambiental Específico para Instalación de Faenas Río Ventisquero, Rev. 1</t>
        </is>
      </c>
      <c r="I19" t="inlineStr">
        <is>
          <t>Plan de Manejo Ambiental Específico para Instalación de Faenas Río Ventisquero, Rev. 1</t>
        </is>
      </c>
      <c r="J19" t="inlineStr">
        <is>
          <t>Diaria</t>
        </is>
      </c>
      <c r="K19" t="inlineStr">
        <is>
          <t>Polvo controlado en vías transitadas</t>
        </is>
      </c>
      <c r="L19" t="inlineStr">
        <is>
          <t>Inspección visual</t>
        </is>
      </c>
      <c r="M19" t="inlineStr">
        <is>
          <t>Polvo mitigado</t>
        </is>
      </c>
      <c r="N19" t="inlineStr">
        <is>
          <t>Obligación contenida en el Plan de Manejo</t>
        </is>
      </c>
      <c r="O19" t="inlineStr">
        <is>
          <t>Expreso en el Plan de Manejo</t>
        </is>
      </c>
      <c r="P19" t="n">
        <v>1</v>
      </c>
    </row>
    <row r="20">
      <c r="A20" t="inlineStr">
        <is>
          <t>REQ-019</t>
        </is>
      </c>
      <c r="B20" t="inlineStr">
        <is>
          <t>Polvo y material particulado</t>
        </is>
      </c>
      <c r="C20" t="inlineStr">
        <is>
          <t>Transporte</t>
        </is>
      </c>
      <c r="D20" t="inlineStr">
        <is>
          <t>Operación</t>
        </is>
      </c>
      <c r="E20" t="inlineStr">
        <is>
          <t>Acceso Ruta 7</t>
        </is>
      </c>
      <c r="F20" t="inlineStr">
        <is>
          <t>Uso de mallas o lonas en camiones</t>
        </is>
      </c>
      <c r="G20" t="inlineStr">
        <is>
          <t>Carga cubierta en transporte de material</t>
        </is>
      </c>
      <c r="H20" t="inlineStr">
        <is>
          <t>Plan de Manejo Ambiental Específico para Instalación de Faenas Río Ventisquero, Rev. 1</t>
        </is>
      </c>
      <c r="I20" t="inlineStr">
        <is>
          <t>Plan de Manejo Ambiental Específico para Instalación de Faenas Río Ventisquero, Rev. 1</t>
        </is>
      </c>
      <c r="J20" t="inlineStr">
        <is>
          <t>Semanal</t>
        </is>
      </c>
      <c r="K20" t="inlineStr">
        <is>
          <t>Cargas cubiertas</t>
        </is>
      </c>
      <c r="L20" t="inlineStr">
        <is>
          <t>Inspección visual</t>
        </is>
      </c>
      <c r="M20" t="inlineStr">
        <is>
          <t>Sin material suelto en tránsito</t>
        </is>
      </c>
      <c r="N20" t="inlineStr">
        <is>
          <t>Obligación contenida en el Plan de Manejo</t>
        </is>
      </c>
      <c r="O20" t="inlineStr">
        <is>
          <t>Expreso en el Plan de Manejo</t>
        </is>
      </c>
      <c r="P20" t="n">
        <v>1</v>
      </c>
    </row>
    <row r="21">
      <c r="A21" t="inlineStr">
        <is>
          <t>REQ-020</t>
        </is>
      </c>
      <c r="B21" t="inlineStr">
        <is>
          <t>Velocidad máxima</t>
        </is>
      </c>
      <c r="C21" t="inlineStr">
        <is>
          <t>Control vehicular</t>
        </is>
      </c>
      <c r="D21" t="inlineStr">
        <is>
          <t>Operación</t>
        </is>
      </c>
      <c r="E21" t="inlineStr">
        <is>
          <t>Vías internas y acceso</t>
        </is>
      </c>
      <c r="F21" t="inlineStr">
        <is>
          <t>Cumplimiento límite de velocidad</t>
        </is>
      </c>
      <c r="G21" t="inlineStr">
        <is>
          <t>Respeto de velocidad máxima señalizada</t>
        </is>
      </c>
      <c r="H21" t="inlineStr">
        <is>
          <t>Plan de Manejo Ambiental Específico para Instalación de Faenas Río Ventisquero, Rev. 1</t>
        </is>
      </c>
      <c r="I21" t="inlineStr">
        <is>
          <t>Plan de Manejo Ambiental Específico para Instalación de Faenas Río Ventisquero, Rev. 1</t>
        </is>
      </c>
      <c r="J21" t="inlineStr">
        <is>
          <t>Semanal</t>
        </is>
      </c>
      <c r="K21" t="inlineStr">
        <is>
          <t>Velocidad ≤ límite autorizado</t>
        </is>
      </c>
      <c r="L21" t="inlineStr">
        <is>
          <t>Inspección y observación</t>
        </is>
      </c>
      <c r="M21" t="inlineStr">
        <is>
          <t>Cumplimiento verificado</t>
        </is>
      </c>
      <c r="N21" t="inlineStr">
        <is>
          <t>Obligación contenida en el Plan de Manejo</t>
        </is>
      </c>
      <c r="O21" t="inlineStr">
        <is>
          <t>Expreso en el Plan de Manejo</t>
        </is>
      </c>
      <c r="P21" t="n">
        <v>1</v>
      </c>
    </row>
    <row r="22">
      <c r="A22" t="inlineStr">
        <is>
          <t>REQ-021</t>
        </is>
      </c>
      <c r="B22" t="inlineStr">
        <is>
          <t>Combustibles</t>
        </is>
      </c>
      <c r="C22" t="inlineStr">
        <is>
          <t>Registro</t>
        </is>
      </c>
      <c r="D22" t="inlineStr">
        <is>
          <t>Operación</t>
        </is>
      </c>
      <c r="E22" t="inlineStr">
        <is>
          <t>Estanque/combustible</t>
        </is>
      </c>
      <c r="F22" t="inlineStr">
        <is>
          <t>Registro consumo mensual de combustible</t>
        </is>
      </c>
      <c r="G22" t="inlineStr">
        <is>
          <t>Registro mensual para gestión y declaraciones</t>
        </is>
      </c>
      <c r="H22" t="inlineStr">
        <is>
          <t>Plan de Manejo Ambiental Específico para Instalación de Faenas Río Ventisquero, Rev. 1</t>
        </is>
      </c>
      <c r="I22" t="inlineStr">
        <is>
          <t>Plan de Manejo Ambiental Específico para Instalación de Faenas Río Ventisquero, Rev. 1</t>
        </is>
      </c>
      <c r="J22" t="inlineStr">
        <is>
          <t>Mensual</t>
        </is>
      </c>
      <c r="K22" t="inlineStr">
        <is>
          <t>Registro completo del mes</t>
        </is>
      </c>
      <c r="L22" t="inlineStr">
        <is>
          <t>Revisión de registros</t>
        </is>
      </c>
      <c r="M22" t="inlineStr">
        <is>
          <t>Registro actualizado</t>
        </is>
      </c>
      <c r="N22" t="inlineStr">
        <is>
          <t>Obligación contenida en el Plan de Manejo</t>
        </is>
      </c>
      <c r="O22" t="inlineStr">
        <is>
          <t>Derivado del Plan de Manejo</t>
        </is>
      </c>
      <c r="P22" t="n">
        <v>1</v>
      </c>
    </row>
    <row r="23">
      <c r="A23" t="inlineStr">
        <is>
          <t>REQ-022</t>
        </is>
      </c>
      <c r="B23" t="inlineStr">
        <is>
          <t>Generador eléctrico</t>
        </is>
      </c>
      <c r="C23" t="inlineStr">
        <is>
          <t>Operación</t>
        </is>
      </c>
      <c r="D23" t="inlineStr">
        <is>
          <t>Operación</t>
        </is>
      </c>
      <c r="E23" t="inlineStr">
        <is>
          <t>Planta eléctrica</t>
        </is>
      </c>
      <c r="F23" t="inlineStr">
        <is>
          <t>Horas de funcionamiento del generador</t>
        </is>
      </c>
      <c r="G23" t="inlineStr">
        <is>
          <t>Registro de horas de operación</t>
        </is>
      </c>
      <c r="H23" t="inlineStr">
        <is>
          <t>Plan de Manejo Ambiental Específico para Instalación de Faenas Río Ventisquero, Rev. 1</t>
        </is>
      </c>
      <c r="I23" t="inlineStr">
        <is>
          <t>Plan de Manejo Ambiental Específico para Instalación de Faenas Río Ventisquero, Rev. 1</t>
        </is>
      </c>
      <c r="J23" t="inlineStr">
        <is>
          <t>Mensual</t>
        </is>
      </c>
      <c r="K23" t="inlineStr">
        <is>
          <t>Registro de horas disponible</t>
        </is>
      </c>
      <c r="L23" t="inlineStr">
        <is>
          <t>Revisión de bitácora</t>
        </is>
      </c>
      <c r="M23" t="inlineStr">
        <is>
          <t>Horas registradas</t>
        </is>
      </c>
      <c r="N23" t="inlineStr">
        <is>
          <t>Obligación contenida en el Plan de Manejo</t>
        </is>
      </c>
      <c r="O23" t="inlineStr">
        <is>
          <t>Derivado del Plan de Manejo</t>
        </is>
      </c>
      <c r="P23" t="n">
        <v>1</v>
      </c>
    </row>
    <row r="24">
      <c r="A24" t="inlineStr">
        <is>
          <t>REQ-023</t>
        </is>
      </c>
      <c r="B24" t="inlineStr">
        <is>
          <t>Generador eléctrico</t>
        </is>
      </c>
      <c r="C24" t="inlineStr">
        <is>
          <t>Potencia</t>
        </is>
      </c>
      <c r="D24" t="inlineStr">
        <is>
          <t>Operación</t>
        </is>
      </c>
      <c r="E24" t="inlineStr">
        <is>
          <t>Planta eléctrica</t>
        </is>
      </c>
      <c r="F24" t="inlineStr">
        <is>
          <t>Potencia del generador registrada</t>
        </is>
      </c>
      <c r="G24" t="inlineStr">
        <is>
          <t>Antecedente técnico coherente con operación</t>
        </is>
      </c>
      <c r="H24" t="inlineStr">
        <is>
          <t>Plan de Manejo Ambiental Específico para Instalación de Faenas Río Ventisquero, Rev. 1</t>
        </is>
      </c>
      <c r="I24" t="inlineStr">
        <is>
          <t>Plan de Manejo Ambiental Específico para Instalación de Faenas Río Ventisquero, Rev. 1</t>
        </is>
      </c>
      <c r="J24" t="inlineStr">
        <is>
          <t>Mensual</t>
        </is>
      </c>
      <c r="K24" t="inlineStr">
        <is>
          <t>Dato de potencia disponible</t>
        </is>
      </c>
      <c r="L24" t="inlineStr">
        <is>
          <t>Revisión documental</t>
        </is>
      </c>
      <c r="M24" t="inlineStr">
        <is>
          <t>Información disponible</t>
        </is>
      </c>
      <c r="N24" t="inlineStr">
        <is>
          <t>Obligación contenida en el Plan de Manejo</t>
        </is>
      </c>
      <c r="O24" t="inlineStr">
        <is>
          <t>Derivado del Plan de Manejo</t>
        </is>
      </c>
      <c r="P24" t="n">
        <v>1</v>
      </c>
    </row>
    <row r="25">
      <c r="A25" t="inlineStr">
        <is>
          <t>REQ-024</t>
        </is>
      </c>
      <c r="B25" t="inlineStr">
        <is>
          <t>Ruido</t>
        </is>
      </c>
      <c r="C25" t="inlineStr">
        <is>
          <t>Horarios</t>
        </is>
      </c>
      <c r="D25" t="inlineStr">
        <is>
          <t>Operación</t>
        </is>
      </c>
      <c r="E25" t="inlineStr">
        <is>
          <t>Instalación completa</t>
        </is>
      </c>
      <c r="F25" t="inlineStr">
        <is>
          <t>Cumplimiento horario de trabajo</t>
        </is>
      </c>
      <c r="G25" t="inlineStr">
        <is>
          <t>Actividades dentro del horario autorizado</t>
        </is>
      </c>
      <c r="H25" t="inlineStr">
        <is>
          <t>Plan de Manejo Ambiental Específico para Instalación de Faenas Río Ventisquero, Rev. 1</t>
        </is>
      </c>
      <c r="I25" t="inlineStr">
        <is>
          <t>Validar con normativa vigente o autoridad competente</t>
        </is>
      </c>
      <c r="J25" t="inlineStr">
        <is>
          <t>Semanal</t>
        </is>
      </c>
      <c r="K25" t="inlineStr">
        <is>
          <t>Sin actividades fuera de horario</t>
        </is>
      </c>
      <c r="L25" t="inlineStr">
        <is>
          <t>Inspección y registro</t>
        </is>
      </c>
      <c r="M25" t="inlineStr">
        <is>
          <t>Horario respetado</t>
        </is>
      </c>
      <c r="N25" t="inlineStr">
        <is>
          <t>Obligación contenida en el Plan de Manejo</t>
        </is>
      </c>
      <c r="O25" t="inlineStr">
        <is>
          <t>Expreso en el Plan de Manejo</t>
        </is>
      </c>
      <c r="P25" t="n">
        <v>1</v>
      </c>
    </row>
    <row r="26">
      <c r="A26" t="inlineStr">
        <is>
          <t>REQ-025</t>
        </is>
      </c>
      <c r="B26" t="inlineStr">
        <is>
          <t>Ruido</t>
        </is>
      </c>
      <c r="C26" t="inlineStr">
        <is>
          <t>Generador</t>
        </is>
      </c>
      <c r="D26" t="inlineStr">
        <is>
          <t>Operación</t>
        </is>
      </c>
      <c r="E26" t="inlineStr">
        <is>
          <t>Planta eléctrica</t>
        </is>
      </c>
      <c r="F26" t="inlineStr">
        <is>
          <t>Estado y ubicación del grupo generador</t>
        </is>
      </c>
      <c r="G26" t="inlineStr">
        <is>
          <t>Generador en sector autorizado con mitigación</t>
        </is>
      </c>
      <c r="H26" t="inlineStr">
        <is>
          <t>Plan de Manejo Ambiental Específico para Instalación de Faenas Río Ventisquero, Rev. 1</t>
        </is>
      </c>
      <c r="I26" t="inlineStr">
        <is>
          <t>Plan de Manejo Ambiental Específico para Instalación de Faenas Río Ventisquero, Rev. 1</t>
        </is>
      </c>
      <c r="J26" t="inlineStr">
        <is>
          <t>Mensual</t>
        </is>
      </c>
      <c r="K26" t="inlineStr">
        <is>
          <t>Ubicación conforme al PMA</t>
        </is>
      </c>
      <c r="L26" t="inlineStr">
        <is>
          <t>Inspección visual</t>
        </is>
      </c>
      <c r="M26" t="inlineStr">
        <is>
          <t>Generador correctamente emplazado</t>
        </is>
      </c>
      <c r="N26" t="inlineStr">
        <is>
          <t>Obligación contenida en el Plan de Manejo</t>
        </is>
      </c>
      <c r="O26" t="inlineStr">
        <is>
          <t>Expreso en el Plan de Manejo</t>
        </is>
      </c>
      <c r="P26" t="n">
        <v>1</v>
      </c>
    </row>
    <row r="27">
      <c r="A27" t="inlineStr">
        <is>
          <t>REQ-026</t>
        </is>
      </c>
      <c r="B27" t="inlineStr">
        <is>
          <t>Ruido</t>
        </is>
      </c>
      <c r="C27" t="inlineStr">
        <is>
          <t>Mitigación</t>
        </is>
      </c>
      <c r="D27" t="inlineStr">
        <is>
          <t>Operación</t>
        </is>
      </c>
      <c r="E27" t="inlineStr">
        <is>
          <t>Instalación completa</t>
        </is>
      </c>
      <c r="F27" t="inlineStr">
        <is>
          <t>Medidas de mitigación acústica</t>
        </is>
      </c>
      <c r="G27" t="inlineStr">
        <is>
          <t>Implementación de medidas del PMA</t>
        </is>
      </c>
      <c r="H27" t="inlineStr">
        <is>
          <t>Plan de Manejo Ambiental Específico para Instalación de Faenas Río Ventisquero, Rev. 1</t>
        </is>
      </c>
      <c r="I27" t="inlineStr">
        <is>
          <t>Plan de Manejo Ambiental Específico para Instalación de Faenas Río Ventisquero, Rev. 1</t>
        </is>
      </c>
      <c r="J27" t="inlineStr">
        <is>
          <t>Mensual</t>
        </is>
      </c>
      <c r="K27" t="inlineStr">
        <is>
          <t>Medidas implementadas</t>
        </is>
      </c>
      <c r="L27" t="inlineStr">
        <is>
          <t>Inspección visual</t>
        </is>
      </c>
      <c r="M27" t="inlineStr">
        <is>
          <t>Mitigación operativa</t>
        </is>
      </c>
      <c r="N27" t="inlineStr">
        <is>
          <t>Obligación contenida en el Plan de Manejo</t>
        </is>
      </c>
      <c r="O27" t="inlineStr">
        <is>
          <t>Derivado del Plan de Manejo</t>
        </is>
      </c>
      <c r="P27" t="n">
        <v>1</v>
      </c>
    </row>
    <row r="28">
      <c r="A28" t="inlineStr">
        <is>
          <t>REQ-027</t>
        </is>
      </c>
      <c r="B28" t="inlineStr">
        <is>
          <t>Ruido</t>
        </is>
      </c>
      <c r="C28" t="inlineStr">
        <is>
          <t>Reclamos</t>
        </is>
      </c>
      <c r="D28" t="inlineStr">
        <is>
          <t>Operación</t>
        </is>
      </c>
      <c r="E28" t="inlineStr">
        <is>
          <t>Comunidad</t>
        </is>
      </c>
      <c r="F28" t="inlineStr">
        <is>
          <t>Reclamos o denuncias por ruido</t>
        </is>
      </c>
      <c r="G28" t="inlineStr">
        <is>
          <t>Registro y respuesta a reclamos</t>
        </is>
      </c>
      <c r="H28" t="inlineStr">
        <is>
          <t>Plan de Manejo Ambiental Específico para Instalación de Faenas Río Ventisquero, Rev. 1</t>
        </is>
      </c>
      <c r="I28" t="inlineStr">
        <is>
          <t>Plan de Manejo Ambiental Específico para Instalación de Faenas Río Ventisquero, Rev. 1</t>
        </is>
      </c>
      <c r="J28" t="inlineStr">
        <is>
          <t>Mensual</t>
        </is>
      </c>
      <c r="K28" t="inlineStr">
        <is>
          <t>Registro de reclamos y acciones</t>
        </is>
      </c>
      <c r="L28" t="inlineStr">
        <is>
          <t>Revisión documental</t>
        </is>
      </c>
      <c r="M28" t="inlineStr">
        <is>
          <t>Reclamos gestionados</t>
        </is>
      </c>
      <c r="N28" t="inlineStr">
        <is>
          <t>Obligación contenida en el Plan de Manejo</t>
        </is>
      </c>
      <c r="O28" t="inlineStr">
        <is>
          <t>Derivado del Plan de Manejo</t>
        </is>
      </c>
      <c r="P28" t="n">
        <v>1</v>
      </c>
    </row>
    <row r="29">
      <c r="A29" t="inlineStr">
        <is>
          <t>REQ-028</t>
        </is>
      </c>
      <c r="B29" t="inlineStr">
        <is>
          <t>Protección del suelo</t>
        </is>
      </c>
      <c r="C29" t="inlineStr">
        <is>
          <t>Superficies</t>
        </is>
      </c>
      <c r="D29" t="inlineStr">
        <is>
          <t>Operación</t>
        </is>
      </c>
      <c r="E29" t="inlineStr">
        <is>
          <t>Estanques/taller</t>
        </is>
      </c>
      <c r="F29" t="inlineStr">
        <is>
          <t>Existencia de superficies impermeables</t>
        </is>
      </c>
      <c r="G29" t="inlineStr">
        <is>
          <t>Radier o superficies impermeabilizadas</t>
        </is>
      </c>
      <c r="H29" t="inlineStr">
        <is>
          <t>Plan de Manejo Ambiental Específico para Instalación de Faenas Río Ventisquero, Rev. 1</t>
        </is>
      </c>
      <c r="I29" t="inlineStr">
        <is>
          <t>Plan de Manejo Ambiental Específico para Instalación de Faenas Río Ventisquero, Rev. 1</t>
        </is>
      </c>
      <c r="J29" t="inlineStr">
        <is>
          <t>Mensual</t>
        </is>
      </c>
      <c r="K29" t="inlineStr">
        <is>
          <t>Superficies en buen estado</t>
        </is>
      </c>
      <c r="L29" t="inlineStr">
        <is>
          <t>Inspección visual</t>
        </is>
      </c>
      <c r="M29" t="inlineStr">
        <is>
          <t>Impermeabilización operativa</t>
        </is>
      </c>
      <c r="N29" t="inlineStr">
        <is>
          <t>Obligación contenida en el Plan de Manejo</t>
        </is>
      </c>
      <c r="O29" t="inlineStr">
        <is>
          <t>Expreso en el Plan de Manejo</t>
        </is>
      </c>
      <c r="P29" t="n">
        <v>1</v>
      </c>
    </row>
    <row r="30">
      <c r="A30" t="inlineStr">
        <is>
          <t>REQ-029</t>
        </is>
      </c>
      <c r="B30" t="inlineStr">
        <is>
          <t>Sustancias peligrosas</t>
        </is>
      </c>
      <c r="C30" t="inlineStr">
        <is>
          <t>Contención</t>
        </is>
      </c>
      <c r="D30" t="inlineStr">
        <is>
          <t>Operación</t>
        </is>
      </c>
      <c r="E30" t="inlineStr">
        <is>
          <t>Bodega combustible/taller</t>
        </is>
      </c>
      <c r="F30" t="inlineStr">
        <is>
          <t>Uso de bandejas de contención</t>
        </is>
      </c>
      <c r="G30" t="inlineStr">
        <is>
          <t>Bandejas bajo estanques y equipos</t>
        </is>
      </c>
      <c r="H30" t="inlineStr">
        <is>
          <t>Plan de Manejo Ambiental Específico para Instalación de Faenas Río Ventisquero, Rev. 1</t>
        </is>
      </c>
      <c r="I30" t="inlineStr">
        <is>
          <t>Plan de Manejo Ambiental Específico para Instalación de Faenas Río Ventisquero, Rev. 1</t>
        </is>
      </c>
      <c r="J30" t="inlineStr">
        <is>
          <t>Semanal</t>
        </is>
      </c>
      <c r="K30" t="inlineStr">
        <is>
          <t>Bandejas instaladas y limpias</t>
        </is>
      </c>
      <c r="L30" t="inlineStr">
        <is>
          <t>Inspección visual</t>
        </is>
      </c>
      <c r="M30" t="inlineStr">
        <is>
          <t>Contención secundaria operativa</t>
        </is>
      </c>
      <c r="N30" t="inlineStr">
        <is>
          <t>Obligación contenida en el Plan de Manejo</t>
        </is>
      </c>
      <c r="O30" t="inlineStr">
        <is>
          <t>Expreso en el Plan de Manejo</t>
        </is>
      </c>
      <c r="P30" t="n">
        <v>1</v>
      </c>
    </row>
    <row r="31">
      <c r="A31" t="inlineStr">
        <is>
          <t>REQ-030</t>
        </is>
      </c>
      <c r="B31" t="inlineStr">
        <is>
          <t>Derrames y contingencias</t>
        </is>
      </c>
      <c r="C31" t="inlineStr">
        <is>
          <t>Kit derrames</t>
        </is>
      </c>
      <c r="D31" t="inlineStr">
        <is>
          <t>Operación</t>
        </is>
      </c>
      <c r="E31" t="inlineStr">
        <is>
          <t>Taller/estanque</t>
        </is>
      </c>
      <c r="F31" t="inlineStr">
        <is>
          <t>Disponibilidad kit para derrames</t>
        </is>
      </c>
      <c r="G31" t="inlineStr">
        <is>
          <t>Kit completo y accesible</t>
        </is>
      </c>
      <c r="H31" t="inlineStr">
        <is>
          <t>Plan de Manejo Ambiental Específico para Instalación de Faenas Río Ventisquero, Rev. 1</t>
        </is>
      </c>
      <c r="I31" t="inlineStr">
        <is>
          <t>Plan de Manejo Ambiental Específico para Instalación de Faenas Río Ventisquero, Rev. 1</t>
        </is>
      </c>
      <c r="J31" t="inlineStr">
        <is>
          <t>Mensual</t>
        </is>
      </c>
      <c r="K31" t="inlineStr">
        <is>
          <t>Kit completo y vigente</t>
        </is>
      </c>
      <c r="L31" t="inlineStr">
        <is>
          <t>Inspección física</t>
        </is>
      </c>
      <c r="M31" t="inlineStr">
        <is>
          <t>Kit operativo</t>
        </is>
      </c>
      <c r="N31" t="inlineStr">
        <is>
          <t>Obligación contenida en el Plan de Manejo</t>
        </is>
      </c>
      <c r="O31" t="inlineStr">
        <is>
          <t>Expreso en el Plan de Manejo</t>
        </is>
      </c>
      <c r="P31" t="n">
        <v>1</v>
      </c>
    </row>
    <row r="32">
      <c r="A32" t="inlineStr">
        <is>
          <t>REQ-031</t>
        </is>
      </c>
      <c r="B32" t="inlineStr">
        <is>
          <t>Sustancias peligrosas</t>
        </is>
      </c>
      <c r="C32" t="inlineStr">
        <is>
          <t>Señalización</t>
        </is>
      </c>
      <c r="D32" t="inlineStr">
        <is>
          <t>Operación</t>
        </is>
      </c>
      <c r="E32" t="inlineStr">
        <is>
          <t>Bodegas y estanques</t>
        </is>
      </c>
      <c r="F32" t="inlineStr">
        <is>
          <t>Señalización de sustancias peligrosas</t>
        </is>
      </c>
      <c r="G32" t="inlineStr">
        <is>
          <t>Señalética conforme a normativa</t>
        </is>
      </c>
      <c r="H32" t="inlineStr">
        <is>
          <t>Plan de Manejo Ambiental Específico para Instalación de Faenas Río Ventisquero, Rev. 1</t>
        </is>
      </c>
      <c r="I32" t="inlineStr">
        <is>
          <t>Validar con normativa vigente o autoridad competente</t>
        </is>
      </c>
      <c r="J32" t="inlineStr">
        <is>
          <t>Mensual</t>
        </is>
      </c>
      <c r="K32" t="inlineStr">
        <is>
          <t>Señalización visible y legible</t>
        </is>
      </c>
      <c r="L32" t="inlineStr">
        <is>
          <t>Inspección visual</t>
        </is>
      </c>
      <c r="M32" t="inlineStr">
        <is>
          <t>Señalización adecuada</t>
        </is>
      </c>
      <c r="N32" t="inlineStr">
        <is>
          <t>Exigencia legal o reglamentaria</t>
        </is>
      </c>
      <c r="O32" t="inlineStr">
        <is>
          <t>Norma o permiso aplicable</t>
        </is>
      </c>
      <c r="P32" t="n">
        <v>1</v>
      </c>
    </row>
    <row r="33">
      <c r="A33" t="inlineStr">
        <is>
          <t>REQ-032</t>
        </is>
      </c>
      <c r="B33" t="inlineStr">
        <is>
          <t>Sustancias peligrosas</t>
        </is>
      </c>
      <c r="C33" t="inlineStr">
        <is>
          <t>HDS</t>
        </is>
      </c>
      <c r="D33" t="inlineStr">
        <is>
          <t>Operación</t>
        </is>
      </c>
      <c r="E33" t="inlineStr">
        <is>
          <t>Bodegas químicas/RESPEL</t>
        </is>
      </c>
      <c r="F33" t="inlineStr">
        <is>
          <t>Hojas de Datos de Seguridad disponibles</t>
        </is>
      </c>
      <c r="G33" t="inlineStr">
        <is>
          <t>HDS para sustancias almacenadas</t>
        </is>
      </c>
      <c r="H33" t="inlineStr">
        <is>
          <t>Plan de Manejo Ambiental Específico para Instalación de Faenas Río Ventisquero, Rev. 1</t>
        </is>
      </c>
      <c r="I33" t="inlineStr">
        <is>
          <t>DS 594 / DS 43</t>
        </is>
      </c>
      <c r="J33" t="inlineStr">
        <is>
          <t>Mensual</t>
        </is>
      </c>
      <c r="K33" t="inlineStr">
        <is>
          <t>HDS disponibles y actuales</t>
        </is>
      </c>
      <c r="L33" t="inlineStr">
        <is>
          <t>Revisión documental</t>
        </is>
      </c>
      <c r="M33" t="inlineStr">
        <is>
          <t>HDS accesibles</t>
        </is>
      </c>
      <c r="N33" t="inlineStr">
        <is>
          <t>Exigencia legal o reglamentaria</t>
        </is>
      </c>
      <c r="O33" t="inlineStr">
        <is>
          <t>Norma o permiso aplicable</t>
        </is>
      </c>
      <c r="P33" t="n">
        <v>1</v>
      </c>
    </row>
    <row r="34">
      <c r="A34" t="inlineStr">
        <is>
          <t>REQ-033</t>
        </is>
      </c>
      <c r="B34" t="inlineStr">
        <is>
          <t>Combustibles</t>
        </is>
      </c>
      <c r="C34" t="inlineStr">
        <is>
          <t>Carga/descarga</t>
        </is>
      </c>
      <c r="D34" t="inlineStr">
        <is>
          <t>Operación</t>
        </is>
      </c>
      <c r="E34" t="inlineStr">
        <is>
          <t>Estanque combustible</t>
        </is>
      </c>
      <c r="F34" t="inlineStr">
        <is>
          <t>Control de carga y descarga de combustibles</t>
        </is>
      </c>
      <c r="G34" t="inlineStr">
        <is>
          <t>Procedimiento sin derrames</t>
        </is>
      </c>
      <c r="H34" t="inlineStr">
        <is>
          <t>Plan de Manejo Ambiental Específico para Instalación de Faenas Río Ventisquero, Rev. 1</t>
        </is>
      </c>
      <c r="I34" t="inlineStr">
        <is>
          <t>Plan de Manejo Ambiental Específico para Instalación de Faenas Río Ventisquero, Rev. 1</t>
        </is>
      </c>
      <c r="J34" t="inlineStr">
        <is>
          <t>Semanal</t>
        </is>
      </c>
      <c r="K34" t="inlineStr">
        <is>
          <t>Operación controlada</t>
        </is>
      </c>
      <c r="L34" t="inlineStr">
        <is>
          <t>Inspección visual</t>
        </is>
      </c>
      <c r="M34" t="inlineStr">
        <is>
          <t>Sin derrames en operación</t>
        </is>
      </c>
      <c r="N34" t="inlineStr">
        <is>
          <t>Obligación contenida en el Plan de Manejo</t>
        </is>
      </c>
      <c r="O34" t="inlineStr">
        <is>
          <t>Expreso en el Plan de Manejo</t>
        </is>
      </c>
      <c r="P34" t="n">
        <v>1</v>
      </c>
    </row>
    <row r="35">
      <c r="A35" t="inlineStr">
        <is>
          <t>REQ-034</t>
        </is>
      </c>
      <c r="B35" t="inlineStr">
        <is>
          <t>Mantención mecánica</t>
        </is>
      </c>
      <c r="C35" t="inlineStr">
        <is>
          <t>Área taller</t>
        </is>
      </c>
      <c r="D35" t="inlineStr">
        <is>
          <t>Operación</t>
        </is>
      </c>
      <c r="E35" t="inlineStr">
        <is>
          <t>Taller mecánico</t>
        </is>
      </c>
      <c r="F35" t="inlineStr">
        <is>
          <t>Condiciones del área de mantención mecánica</t>
        </is>
      </c>
      <c r="G35" t="inlineStr">
        <is>
          <t>Taller ordenado con protección de suelo</t>
        </is>
      </c>
      <c r="H35" t="inlineStr">
        <is>
          <t>Plan de Manejo Ambiental Específico para Instalación de Faenas Río Ventisquero, Rev. 1</t>
        </is>
      </c>
      <c r="I35" t="inlineStr">
        <is>
          <t>Plan de Manejo Ambiental Específico para Instalación de Faenas Río Ventisquero, Rev. 1</t>
        </is>
      </c>
      <c r="J35" t="inlineStr">
        <is>
          <t>Semanal</t>
        </is>
      </c>
      <c r="K35" t="inlineStr">
        <is>
          <t>Área limpia y contenida</t>
        </is>
      </c>
      <c r="L35" t="inlineStr">
        <is>
          <t>Inspección visual</t>
        </is>
      </c>
      <c r="M35" t="inlineStr">
        <is>
          <t>Taller conforme</t>
        </is>
      </c>
      <c r="N35" t="inlineStr">
        <is>
          <t>Obligación contenida en el Plan de Manejo</t>
        </is>
      </c>
      <c r="O35" t="inlineStr">
        <is>
          <t>Expreso en el Plan de Manejo</t>
        </is>
      </c>
      <c r="P35" t="n">
        <v>1</v>
      </c>
    </row>
    <row r="36">
      <c r="A36" t="inlineStr">
        <is>
          <t>REQ-035</t>
        </is>
      </c>
      <c r="B36" t="inlineStr">
        <is>
          <t>Protección del suelo</t>
        </is>
      </c>
      <c r="C36" t="inlineStr">
        <is>
          <t>Geotextil</t>
        </is>
      </c>
      <c r="D36" t="inlineStr">
        <is>
          <t>Operación</t>
        </is>
      </c>
      <c r="E36" t="inlineStr">
        <is>
          <t>Taller/estanque</t>
        </is>
      </c>
      <c r="F36" t="inlineStr">
        <is>
          <t>Existencia de geotextil o equivalente</t>
        </is>
      </c>
      <c r="G36" t="inlineStr">
        <is>
          <t>Protección adicional del suelo</t>
        </is>
      </c>
      <c r="H36" t="inlineStr">
        <is>
          <t>Plan de Manejo Ambiental Específico para Instalación de Faenas Río Ventisquero, Rev. 1</t>
        </is>
      </c>
      <c r="I36" t="inlineStr">
        <is>
          <t>Plan de Manejo Ambiental Específico para Instalación de Faenas Río Ventisquero, Rev. 1</t>
        </is>
      </c>
      <c r="J36" t="inlineStr">
        <is>
          <t>Mensual</t>
        </is>
      </c>
      <c r="K36" t="inlineStr">
        <is>
          <t>Geotextil en buen estado</t>
        </is>
      </c>
      <c r="L36" t="inlineStr">
        <is>
          <t>Inspección visual</t>
        </is>
      </c>
      <c r="M36" t="inlineStr">
        <is>
          <t>Protección implementada</t>
        </is>
      </c>
      <c r="N36" t="inlineStr">
        <is>
          <t>Obligación contenida en el Plan de Manejo</t>
        </is>
      </c>
      <c r="O36" t="inlineStr">
        <is>
          <t>Derivado del Plan de Manejo</t>
        </is>
      </c>
      <c r="P36" t="n">
        <v>1</v>
      </c>
    </row>
    <row r="37">
      <c r="A37" t="inlineStr">
        <is>
          <t>REQ-036</t>
        </is>
      </c>
      <c r="B37" t="inlineStr">
        <is>
          <t>Protección del suelo</t>
        </is>
      </c>
      <c r="C37" t="inlineStr">
        <is>
          <t>Contaminación</t>
        </is>
      </c>
      <c r="D37" t="inlineStr">
        <is>
          <t>Operación</t>
        </is>
      </c>
      <c r="E37" t="inlineStr">
        <is>
          <t>Instalación completa</t>
        </is>
      </c>
      <c r="F37" t="inlineStr">
        <is>
          <t>Ausencia de manchas, derrames o contaminación</t>
        </is>
      </c>
      <c r="G37" t="inlineStr">
        <is>
          <t>Sin evidencia de contaminación de suelo</t>
        </is>
      </c>
      <c r="H37" t="inlineStr">
        <is>
          <t>Plan de Manejo Ambiental Específico para Instalación de Faenas Río Ventisquero, Rev. 1</t>
        </is>
      </c>
      <c r="I37" t="inlineStr">
        <is>
          <t>Plan de Manejo Ambiental Específico para Instalación de Faenas Río Ventisquero, Rev. 1</t>
        </is>
      </c>
      <c r="J37" t="inlineStr">
        <is>
          <t>Semanal</t>
        </is>
      </c>
      <c r="K37" t="inlineStr">
        <is>
          <t>Sin manchas ni olores anómalos</t>
        </is>
      </c>
      <c r="L37" t="inlineStr">
        <is>
          <t>Inspección visual</t>
        </is>
      </c>
      <c r="M37" t="inlineStr">
        <is>
          <t>Suelo sin contaminación visible</t>
        </is>
      </c>
      <c r="N37" t="inlineStr">
        <is>
          <t>Obligación contenida en el Plan de Manejo</t>
        </is>
      </c>
      <c r="O37" t="inlineStr">
        <is>
          <t>Expreso en el Plan de Manejo</t>
        </is>
      </c>
      <c r="P37" t="n">
        <v>1</v>
      </c>
    </row>
    <row r="38">
      <c r="A38" t="inlineStr">
        <is>
          <t>REQ-037</t>
        </is>
      </c>
      <c r="B38" t="inlineStr">
        <is>
          <t>Derrames y contingencias</t>
        </is>
      </c>
      <c r="C38" t="inlineStr">
        <is>
          <t>Procedimiento</t>
        </is>
      </c>
      <c r="D38" t="inlineStr">
        <is>
          <t>Operación</t>
        </is>
      </c>
      <c r="E38" t="inlineStr">
        <is>
          <t>Instalación completa</t>
        </is>
      </c>
      <c r="F38" t="inlineStr">
        <is>
          <t>Aplicación procedimiento de contingencias</t>
        </is>
      </c>
      <c r="G38" t="inlineStr">
        <is>
          <t>Procedimiento conocido y aplicable</t>
        </is>
      </c>
      <c r="H38" t="inlineStr">
        <is>
          <t>Plan de Manejo Ambiental Específico para Instalación de Faenas Río Ventisquero, Rev. 1</t>
        </is>
      </c>
      <c r="I38" t="inlineStr">
        <is>
          <t>Plan de Manejo Ambiental Específico para Instalación de Faenas Río Ventisquero, Rev. 1</t>
        </is>
      </c>
      <c r="J38" t="inlineStr">
        <is>
          <t>Mensual</t>
        </is>
      </c>
      <c r="K38" t="inlineStr">
        <is>
          <t>Procedimiento disponible y difundido</t>
        </is>
      </c>
      <c r="L38" t="inlineStr">
        <is>
          <t>Revisión documental e inducción</t>
        </is>
      </c>
      <c r="M38" t="inlineStr">
        <is>
          <t>Procedimiento operativo</t>
        </is>
      </c>
      <c r="N38" t="inlineStr">
        <is>
          <t>Obligación contenida en el Plan de Manejo</t>
        </is>
      </c>
      <c r="O38" t="inlineStr">
        <is>
          <t>Expreso en el Plan de Manejo</t>
        </is>
      </c>
      <c r="P38" t="n">
        <v>1</v>
      </c>
    </row>
    <row r="39">
      <c r="A39" t="inlineStr">
        <is>
          <t>REQ-038</t>
        </is>
      </c>
      <c r="B39" t="inlineStr">
        <is>
          <t>Derrames y contingencias</t>
        </is>
      </c>
      <c r="C39" t="inlineStr">
        <is>
          <t>Incidentes</t>
        </is>
      </c>
      <c r="D39" t="inlineStr">
        <is>
          <t>Operación</t>
        </is>
      </c>
      <c r="E39" t="inlineStr">
        <is>
          <t>Instalación completa</t>
        </is>
      </c>
      <c r="F39" t="inlineStr">
        <is>
          <t>Registro de incidentes ambientales</t>
        </is>
      </c>
      <c r="G39" t="inlineStr">
        <is>
          <t>Registro y reporte de incidentes</t>
        </is>
      </c>
      <c r="H39" t="inlineStr">
        <is>
          <t>Plan de Manejo Ambiental Específico para Instalación de Faenas Río Ventisquero, Rev. 1</t>
        </is>
      </c>
      <c r="I39" t="inlineStr">
        <is>
          <t>Ley 19.300 / RCA si aplica</t>
        </is>
      </c>
      <c r="J39" t="inlineStr">
        <is>
          <t>Mensual</t>
        </is>
      </c>
      <c r="K39" t="inlineStr">
        <is>
          <t>Registro actualizado</t>
        </is>
      </c>
      <c r="L39" t="inlineStr">
        <is>
          <t>Revisión de registros</t>
        </is>
      </c>
      <c r="M39" t="inlineStr">
        <is>
          <t>Incidentes registrados y gestionados</t>
        </is>
      </c>
      <c r="N39" t="inlineStr">
        <is>
          <t>Exigencia legal o reglamentaria</t>
        </is>
      </c>
      <c r="O39" t="inlineStr">
        <is>
          <t>Norma o permiso aplicable</t>
        </is>
      </c>
      <c r="P39" t="n">
        <v>1</v>
      </c>
    </row>
    <row r="40">
      <c r="A40" t="inlineStr">
        <is>
          <t>REQ-039</t>
        </is>
      </c>
      <c r="B40" t="inlineStr">
        <is>
          <t>Agua potable</t>
        </is>
      </c>
      <c r="C40" t="inlineStr">
        <is>
          <t>Estanques</t>
        </is>
      </c>
      <c r="D40" t="inlineStr">
        <is>
          <t>Operación</t>
        </is>
      </c>
      <c r="E40" t="inlineStr">
        <is>
          <t>Sistema AP</t>
        </is>
      </c>
      <c r="F40" t="inlineStr">
        <is>
          <t>Condiciones de estanques de agua potable</t>
        </is>
      </c>
      <c r="G40" t="inlineStr">
        <is>
          <t>Estanques limpios, protegidos y señalizados</t>
        </is>
      </c>
      <c r="H40" t="inlineStr">
        <is>
          <t>Plan de Manejo Ambiental Específico para Instalación de Faenas Río Ventisquero, Rev. 1</t>
        </is>
      </c>
      <c r="I40" t="inlineStr">
        <is>
          <t>DS 594</t>
        </is>
      </c>
      <c r="J40" t="inlineStr">
        <is>
          <t>Mensual</t>
        </is>
      </c>
      <c r="K40" t="inlineStr">
        <is>
          <t>Estanques conformes</t>
        </is>
      </c>
      <c r="L40" t="inlineStr">
        <is>
          <t>Inspección visual</t>
        </is>
      </c>
      <c r="M40" t="inlineStr">
        <is>
          <t>Estanques en buen estado</t>
        </is>
      </c>
      <c r="N40" t="inlineStr">
        <is>
          <t>Obligación contenida en el Plan de Manejo</t>
        </is>
      </c>
      <c r="O40" t="inlineStr">
        <is>
          <t>Expreso en el Plan de Manejo</t>
        </is>
      </c>
      <c r="P40" t="n">
        <v>1</v>
      </c>
    </row>
    <row r="41">
      <c r="A41" t="inlineStr">
        <is>
          <t>REQ-040</t>
        </is>
      </c>
      <c r="B41" t="inlineStr">
        <is>
          <t>Agua potable</t>
        </is>
      </c>
      <c r="C41" t="inlineStr">
        <is>
          <t>Cloración</t>
        </is>
      </c>
      <c r="D41" t="inlineStr">
        <is>
          <t>Operación</t>
        </is>
      </c>
      <c r="E41" t="inlineStr">
        <is>
          <t>Sistema AP</t>
        </is>
      </c>
      <c r="F41" t="inlineStr">
        <is>
          <t>Funcionamiento del sistema de cloración</t>
        </is>
      </c>
      <c r="G41" t="inlineStr">
        <is>
          <t>Cloración operativa según procedimiento</t>
        </is>
      </c>
      <c r="H41" t="inlineStr">
        <is>
          <t>Plan de Manejo Ambiental Específico para Instalación de Faenas Río Ventisquero, Rev. 1</t>
        </is>
      </c>
      <c r="I41" t="inlineStr">
        <is>
          <t>DS 594</t>
        </is>
      </c>
      <c r="J41" t="inlineStr">
        <is>
          <t>Semanal</t>
        </is>
      </c>
      <c r="K41" t="inlineStr">
        <is>
          <t>Sistema operativo</t>
        </is>
      </c>
      <c r="L41" t="inlineStr">
        <is>
          <t>Inspección y registro</t>
        </is>
      </c>
      <c r="M41" t="inlineStr">
        <is>
          <t>Cloración activa</t>
        </is>
      </c>
      <c r="N41" t="inlineStr">
        <is>
          <t>Obligación contenida en el Plan de Manejo</t>
        </is>
      </c>
      <c r="O41" t="inlineStr">
        <is>
          <t>Expreso en el Plan de Manejo</t>
        </is>
      </c>
      <c r="P41" t="n">
        <v>1</v>
      </c>
    </row>
    <row r="42">
      <c r="A42" t="inlineStr">
        <is>
          <t>REQ-041</t>
        </is>
      </c>
      <c r="B42" t="inlineStr">
        <is>
          <t>Agua potable</t>
        </is>
      </c>
      <c r="C42" t="inlineStr">
        <is>
          <t>Análisis</t>
        </is>
      </c>
      <c r="D42" t="inlineStr">
        <is>
          <t>Operación</t>
        </is>
      </c>
      <c r="E42" t="inlineStr">
        <is>
          <t>Sistema AP</t>
        </is>
      </c>
      <c r="F42" t="inlineStr">
        <is>
          <t>Resultados de análisis de agua potable</t>
        </is>
      </c>
      <c r="G42" t="inlineStr">
        <is>
          <t>Análisis según frecuencia definida</t>
        </is>
      </c>
      <c r="H42" t="inlineStr">
        <is>
          <t>Plan de Manejo Ambiental Específico para Instalación de Faenas Río Ventisquero, Rev. 1</t>
        </is>
      </c>
      <c r="I42" t="inlineStr">
        <is>
          <t>DS 594</t>
        </is>
      </c>
      <c r="J42" t="inlineStr">
        <is>
          <t>Mensual</t>
        </is>
      </c>
      <c r="K42" t="inlineStr">
        <is>
          <t>Análisis vigentes conformes</t>
        </is>
      </c>
      <c r="L42" t="inlineStr">
        <is>
          <t>Revisión de informes de laboratorio</t>
        </is>
      </c>
      <c r="M42" t="inlineStr">
        <is>
          <t>Resultados conformes</t>
        </is>
      </c>
      <c r="N42" t="inlineStr">
        <is>
          <t>Exigencia legal o reglamentaria</t>
        </is>
      </c>
      <c r="O42" t="inlineStr">
        <is>
          <t>Norma o permiso aplicable</t>
        </is>
      </c>
      <c r="P42" t="n">
        <v>1</v>
      </c>
    </row>
    <row r="43">
      <c r="A43" t="inlineStr">
        <is>
          <t>REQ-042</t>
        </is>
      </c>
      <c r="B43" t="inlineStr">
        <is>
          <t>Fosas sépticas</t>
        </is>
      </c>
      <c r="C43" t="inlineStr">
        <is>
          <t>Mantención</t>
        </is>
      </c>
      <c r="D43" t="inlineStr">
        <is>
          <t>Operación</t>
        </is>
      </c>
      <c r="E43" t="inlineStr">
        <is>
          <t>Sanitarios</t>
        </is>
      </c>
      <c r="F43" t="inlineStr">
        <is>
          <t>Limpieza y mantención de fosas sépticas</t>
        </is>
      </c>
      <c r="G43" t="inlineStr">
        <is>
          <t>Limpieza mensual registrada</t>
        </is>
      </c>
      <c r="H43" t="inlineStr">
        <is>
          <t>Plan de Manejo Ambiental Específico para Instalación de Faenas Río Ventisquero, Rev. 1</t>
        </is>
      </c>
      <c r="I43" t="inlineStr">
        <is>
          <t>Plan de Manejo Ambiental Específico para Instalación de Faenas Río Ventisquero, Rev. 1</t>
        </is>
      </c>
      <c r="J43" t="inlineStr">
        <is>
          <t>Mensual</t>
        </is>
      </c>
      <c r="K43" t="inlineStr">
        <is>
          <t>Registro de limpieza mensual</t>
        </is>
      </c>
      <c r="L43" t="inlineStr">
        <is>
          <t>Revisión de certificados</t>
        </is>
      </c>
      <c r="M43" t="inlineStr">
        <is>
          <t>Limpieza al día</t>
        </is>
      </c>
      <c r="N43" t="inlineStr">
        <is>
          <t>Obligación contenida en el Plan de Manejo</t>
        </is>
      </c>
      <c r="O43" t="inlineStr">
        <is>
          <t>Expreso en el Plan de Manejo</t>
        </is>
      </c>
      <c r="P43" t="n">
        <v>1</v>
      </c>
    </row>
    <row r="44">
      <c r="A44" t="inlineStr">
        <is>
          <t>REQ-043</t>
        </is>
      </c>
      <c r="B44" t="inlineStr">
        <is>
          <t>Baños químicos</t>
        </is>
      </c>
      <c r="C44" t="inlineStr">
        <is>
          <t>Limpieza</t>
        </is>
      </c>
      <c r="D44" t="inlineStr">
        <is>
          <t>Operación</t>
        </is>
      </c>
      <c r="E44" t="inlineStr">
        <is>
          <t>Sanitarios</t>
        </is>
      </c>
      <c r="F44" t="inlineStr">
        <is>
          <t>Limpieza semanal de baños químicos</t>
        </is>
      </c>
      <c r="G44" t="inlineStr">
        <is>
          <t>Limpieza semanal con registro</t>
        </is>
      </c>
      <c r="H44" t="inlineStr">
        <is>
          <t>Plan de Manejo Ambiental Específico para Instalación de Faenas Río Ventisquero, Rev. 1</t>
        </is>
      </c>
      <c r="I44" t="inlineStr">
        <is>
          <t>Plan de Manejo Ambiental Específico para Instalación de Faenas Río Ventisquero, Rev. 1</t>
        </is>
      </c>
      <c r="J44" t="inlineStr">
        <is>
          <t>Semanal</t>
        </is>
      </c>
      <c r="K44" t="inlineStr">
        <is>
          <t>Registro semanal completo</t>
        </is>
      </c>
      <c r="L44" t="inlineStr">
        <is>
          <t>Revisión de registros</t>
        </is>
      </c>
      <c r="M44" t="inlineStr">
        <is>
          <t>Limpieza semanal cumplida</t>
        </is>
      </c>
      <c r="N44" t="inlineStr">
        <is>
          <t>Obligación contenida en el Plan de Manejo</t>
        </is>
      </c>
      <c r="O44" t="inlineStr">
        <is>
          <t>Expreso en el Plan de Manejo</t>
        </is>
      </c>
      <c r="P44" t="n">
        <v>1</v>
      </c>
    </row>
    <row r="45">
      <c r="A45" t="inlineStr">
        <is>
          <t>REQ-044</t>
        </is>
      </c>
      <c r="B45" t="inlineStr">
        <is>
          <t>Protección del agua</t>
        </is>
      </c>
      <c r="C45" t="inlineStr">
        <is>
          <t>Desgrasadoras</t>
        </is>
      </c>
      <c r="D45" t="inlineStr">
        <is>
          <t>Operación</t>
        </is>
      </c>
      <c r="E45" t="inlineStr">
        <is>
          <t>Comedor/taller</t>
        </is>
      </c>
      <c r="F45" t="inlineStr">
        <is>
          <t>Condiciones de cámaras desgrasadoras</t>
        </is>
      </c>
      <c r="G45" t="inlineStr">
        <is>
          <t>Cámaras operativas y mantenidas</t>
        </is>
      </c>
      <c r="H45" t="inlineStr">
        <is>
          <t>Plan de Manejo Ambiental Específico para Instalación de Faenas Río Ventisquero, Rev. 1</t>
        </is>
      </c>
      <c r="I45" t="inlineStr">
        <is>
          <t>Plan de Manejo Ambiental Específico para Instalación de Faenas Río Ventisquero, Rev. 1</t>
        </is>
      </c>
      <c r="J45" t="inlineStr">
        <is>
          <t>Mensual</t>
        </is>
      </c>
      <c r="K45" t="inlineStr">
        <is>
          <t>Cámaras limpias y funcionales</t>
        </is>
      </c>
      <c r="L45" t="inlineStr">
        <is>
          <t>Inspección visual</t>
        </is>
      </c>
      <c r="M45" t="inlineStr">
        <is>
          <t>Desgrasadoras conformes</t>
        </is>
      </c>
      <c r="N45" t="inlineStr">
        <is>
          <t>Obligación contenida en el Plan de Manejo</t>
        </is>
      </c>
      <c r="O45" t="inlineStr">
        <is>
          <t>Derivado del Plan de Manejo</t>
        </is>
      </c>
      <c r="P45" t="n">
        <v>1</v>
      </c>
    </row>
    <row r="46">
      <c r="A46" t="inlineStr">
        <is>
          <t>REQ-045</t>
        </is>
      </c>
      <c r="B46" t="inlineStr">
        <is>
          <t>Protección del agua</t>
        </is>
      </c>
      <c r="C46" t="inlineStr">
        <is>
          <t>Descargas</t>
        </is>
      </c>
      <c r="D46" t="inlineStr">
        <is>
          <t>Operación</t>
        </is>
      </c>
      <c r="E46" t="inlineStr">
        <is>
          <t>Instalación completa</t>
        </is>
      </c>
      <c r="F46" t="inlineStr">
        <is>
          <t>Ausencia de descargas no autorizadas</t>
        </is>
      </c>
      <c r="G46" t="inlineStr">
        <is>
          <t>Sin vertidos fuera de sistemas autorizados</t>
        </is>
      </c>
      <c r="H46" t="inlineStr">
        <is>
          <t>Plan de Manejo Ambiental Específico para Instalación de Faenas Río Ventisquero, Rev. 1</t>
        </is>
      </c>
      <c r="I46" t="inlineStr">
        <is>
          <t>Ley 19.300 / Código de Aguas</t>
        </is>
      </c>
      <c r="J46" t="inlineStr">
        <is>
          <t>Semanal</t>
        </is>
      </c>
      <c r="K46" t="inlineStr">
        <is>
          <t>Sin descargas visibles</t>
        </is>
      </c>
      <c r="L46" t="inlineStr">
        <is>
          <t>Inspección visual</t>
        </is>
      </c>
      <c r="M46" t="inlineStr">
        <is>
          <t>Sin descargas no autorizadas</t>
        </is>
      </c>
      <c r="N46" t="inlineStr">
        <is>
          <t>Exigencia legal o reglamentaria</t>
        </is>
      </c>
      <c r="O46" t="inlineStr">
        <is>
          <t>Norma o permiso aplicable</t>
        </is>
      </c>
      <c r="P46" t="n">
        <v>1</v>
      </c>
    </row>
    <row r="47">
      <c r="A47" t="inlineStr">
        <is>
          <t>REQ-046</t>
        </is>
      </c>
      <c r="B47" t="inlineStr">
        <is>
          <t>Río Ventisquero</t>
        </is>
      </c>
      <c r="C47" t="inlineStr">
        <is>
          <t>Prohibiciones</t>
        </is>
      </c>
      <c r="D47" t="inlineStr">
        <is>
          <t>Operación</t>
        </is>
      </c>
      <c r="E47" t="inlineStr">
        <is>
          <t>Perímetro río</t>
        </is>
      </c>
      <c r="F47" t="inlineStr">
        <is>
          <t>Prohibición lavado de camiones/maquinaria cerca del río</t>
        </is>
      </c>
      <c r="G47" t="inlineStr">
        <is>
          <t>Sin lavado en sector río</t>
        </is>
      </c>
      <c r="H47" t="inlineStr">
        <is>
          <t>Plan de Manejo Ambiental Específico para Instalación de Faenas Río Ventisquero, Rev. 1</t>
        </is>
      </c>
      <c r="I47" t="inlineStr">
        <is>
          <t>Plan de Manejo Ambiental Específico para Instalación de Faenas Río Ventisquero, Rev. 1</t>
        </is>
      </c>
      <c r="J47" t="inlineStr">
        <is>
          <t>Semanal</t>
        </is>
      </c>
      <c r="K47" t="inlineStr">
        <is>
          <t>Sin lavado en sector</t>
        </is>
      </c>
      <c r="L47" t="inlineStr">
        <is>
          <t>Inspección visual</t>
        </is>
      </c>
      <c r="M47" t="inlineStr">
        <is>
          <t>Prohibición cumplida</t>
        </is>
      </c>
      <c r="N47" t="inlineStr">
        <is>
          <t>Obligación contenida en el Plan de Manejo</t>
        </is>
      </c>
      <c r="O47" t="inlineStr">
        <is>
          <t>Expreso en el Plan de Manejo</t>
        </is>
      </c>
      <c r="P47" t="n">
        <v>1</v>
      </c>
    </row>
    <row r="48">
      <c r="A48" t="inlineStr">
        <is>
          <t>REQ-047</t>
        </is>
      </c>
      <c r="B48" t="inlineStr">
        <is>
          <t>Río Ventisquero</t>
        </is>
      </c>
      <c r="C48" t="inlineStr">
        <is>
          <t>Residuos líquidos</t>
        </is>
      </c>
      <c r="D48" t="inlineStr">
        <is>
          <t>Operación</t>
        </is>
      </c>
      <c r="E48" t="inlineStr">
        <is>
          <t>Perímetro río</t>
        </is>
      </c>
      <c r="F48" t="inlineStr">
        <is>
          <t>Ausencia contacto residuos líquidos con cauces</t>
        </is>
      </c>
      <c r="G48" t="inlineStr">
        <is>
          <t>Sin contacto con cauce</t>
        </is>
      </c>
      <c r="H48" t="inlineStr">
        <is>
          <t>Plan de Manejo Ambiental Específico para Instalación de Faenas Río Ventisquero, Rev. 1</t>
        </is>
      </c>
      <c r="I48" t="inlineStr">
        <is>
          <t>Código de Aguas</t>
        </is>
      </c>
      <c r="J48" t="inlineStr">
        <is>
          <t>Semanal</t>
        </is>
      </c>
      <c r="K48" t="inlineStr">
        <is>
          <t>Sin contacto con cauce</t>
        </is>
      </c>
      <c r="L48" t="inlineStr">
        <is>
          <t>Inspección visual</t>
        </is>
      </c>
      <c r="M48" t="inlineStr">
        <is>
          <t>Protección del cauce</t>
        </is>
      </c>
      <c r="N48" t="inlineStr">
        <is>
          <t>Obligación contenida en el Plan de Manejo</t>
        </is>
      </c>
      <c r="O48" t="inlineStr">
        <is>
          <t>Expreso en el Plan de Manejo</t>
        </is>
      </c>
      <c r="P48" t="n">
        <v>1</v>
      </c>
    </row>
    <row r="49">
      <c r="A49" t="inlineStr">
        <is>
          <t>REQ-048</t>
        </is>
      </c>
      <c r="B49" t="inlineStr">
        <is>
          <t>Residuos domiciliarios y asimilables</t>
        </is>
      </c>
      <c r="C49" t="inlineStr">
        <is>
          <t>Contenedores</t>
        </is>
      </c>
      <c r="D49" t="inlineStr">
        <is>
          <t>Operación</t>
        </is>
      </c>
      <c r="E49" t="inlineStr">
        <is>
          <t>Sectores de residuos</t>
        </is>
      </c>
      <c r="F49" t="inlineStr">
        <is>
          <t>Contenedores herméticos con tapa</t>
        </is>
      </c>
      <c r="G49" t="inlineStr">
        <is>
          <t>Contenedores cerrados y en buen estado</t>
        </is>
      </c>
      <c r="H49" t="inlineStr">
        <is>
          <t>Plan de Manejo Ambiental Específico para Instalación de Faenas Río Ventisquero, Rev. 1</t>
        </is>
      </c>
      <c r="I49" t="inlineStr">
        <is>
          <t>Plan de Manejo Ambiental Específico para Instalación de Faenas Río Ventisquero, Rev. 1</t>
        </is>
      </c>
      <c r="J49" t="inlineStr">
        <is>
          <t>Semanal</t>
        </is>
      </c>
      <c r="K49" t="inlineStr">
        <is>
          <t>Contenedores conformes</t>
        </is>
      </c>
      <c r="L49" t="inlineStr">
        <is>
          <t>Inspección visual</t>
        </is>
      </c>
      <c r="M49" t="inlineStr">
        <is>
          <t>Contenedores operativos</t>
        </is>
      </c>
      <c r="N49" t="inlineStr">
        <is>
          <t>Obligación contenida en el Plan de Manejo</t>
        </is>
      </c>
      <c r="O49" t="inlineStr">
        <is>
          <t>Expreso en el Plan de Manejo</t>
        </is>
      </c>
      <c r="P49" t="n">
        <v>1</v>
      </c>
    </row>
    <row r="50">
      <c r="A50" t="inlineStr">
        <is>
          <t>REQ-049</t>
        </is>
      </c>
      <c r="B50" t="inlineStr">
        <is>
          <t>Segregación de residuos</t>
        </is>
      </c>
      <c r="C50" t="inlineStr">
        <is>
          <t>Rotulación</t>
        </is>
      </c>
      <c r="D50" t="inlineStr">
        <is>
          <t>Operación</t>
        </is>
      </c>
      <c r="E50" t="inlineStr">
        <is>
          <t>Puntos de segregación</t>
        </is>
      </c>
      <c r="F50" t="inlineStr">
        <is>
          <t>Rotulación y segregación de residuos</t>
        </is>
      </c>
      <c r="G50" t="inlineStr">
        <is>
          <t>Residuos segregados y rotulados</t>
        </is>
      </c>
      <c r="H50" t="inlineStr">
        <is>
          <t>Plan de Manejo Ambiental Específico para Instalación de Faenas Río Ventisquero, Rev. 1</t>
        </is>
      </c>
      <c r="I50" t="inlineStr">
        <is>
          <t>Plan de Manejo Ambiental Específico para Instalación de Faenas Río Ventisquero, Rev. 1</t>
        </is>
      </c>
      <c r="J50" t="inlineStr">
        <is>
          <t>Semanal</t>
        </is>
      </c>
      <c r="K50" t="inlineStr">
        <is>
          <t>Segregación visible</t>
        </is>
      </c>
      <c r="L50" t="inlineStr">
        <is>
          <t>Inspección visual</t>
        </is>
      </c>
      <c r="M50" t="inlineStr">
        <is>
          <t>Segregación conforme</t>
        </is>
      </c>
      <c r="N50" t="inlineStr">
        <is>
          <t>Obligación contenida en el Plan de Manejo</t>
        </is>
      </c>
      <c r="O50" t="inlineStr">
        <is>
          <t>Expreso en el Plan de Manejo</t>
        </is>
      </c>
      <c r="P50" t="n">
        <v>1</v>
      </c>
    </row>
    <row r="51">
      <c r="A51" t="inlineStr">
        <is>
          <t>REQ-050</t>
        </is>
      </c>
      <c r="B51" t="inlineStr">
        <is>
          <t>Residuos domiciliarios y asimilables</t>
        </is>
      </c>
      <c r="C51" t="inlineStr">
        <is>
          <t>Retiro</t>
        </is>
      </c>
      <c r="D51" t="inlineStr">
        <is>
          <t>Operación</t>
        </is>
      </c>
      <c r="E51" t="inlineStr">
        <is>
          <t>Sectores de residuos</t>
        </is>
      </c>
      <c r="F51" t="inlineStr">
        <is>
          <t>Frecuencia de retiro de residuos domiciliarios</t>
        </is>
      </c>
      <c r="G51" t="inlineStr">
        <is>
          <t>Retiro según frecuencia definida</t>
        </is>
      </c>
      <c r="H51" t="inlineStr">
        <is>
          <t>Plan de Manejo Ambiental Específico para Instalación de Faenas Río Ventisquero, Rev. 1</t>
        </is>
      </c>
      <c r="I51" t="inlineStr">
        <is>
          <t>Plan de Manejo Ambiental Específico para Instalación de Faenas Río Ventisquero, Rev. 1</t>
        </is>
      </c>
      <c r="J51" t="inlineStr">
        <is>
          <t>Mensual</t>
        </is>
      </c>
      <c r="K51" t="inlineStr">
        <is>
          <t>Retiros registrados</t>
        </is>
      </c>
      <c r="L51" t="inlineStr">
        <is>
          <t>Revisión de registros</t>
        </is>
      </c>
      <c r="M51" t="inlineStr">
        <is>
          <t>Frecuencia cumplida</t>
        </is>
      </c>
      <c r="N51" t="inlineStr">
        <is>
          <t>Obligación contenida en el Plan de Manejo</t>
        </is>
      </c>
      <c r="O51" t="inlineStr">
        <is>
          <t>Expreso en el Plan de Manejo</t>
        </is>
      </c>
      <c r="P51" t="n">
        <v>1</v>
      </c>
    </row>
    <row r="52">
      <c r="A52" t="inlineStr">
        <is>
          <t>REQ-051</t>
        </is>
      </c>
      <c r="B52" t="inlineStr">
        <is>
          <t>Transporte y disposición final</t>
        </is>
      </c>
      <c r="C52" t="inlineStr">
        <is>
          <t>Disposición</t>
        </is>
      </c>
      <c r="D52" t="inlineStr">
        <is>
          <t>Operación</t>
        </is>
      </c>
      <c r="E52" t="inlineStr">
        <is>
          <t>Residuos domiciliarios</t>
        </is>
      </c>
      <c r="F52" t="inlineStr">
        <is>
          <t>Disposición final en vertedero autorizado (La Junta u otro)</t>
        </is>
      </c>
      <c r="G52" t="inlineStr">
        <is>
          <t>Certificados de disposición</t>
        </is>
      </c>
      <c r="H52" t="inlineStr">
        <is>
          <t>Plan de Manejo Ambiental Específico para Instalación de Faenas Río Ventisquero, Rev. 1</t>
        </is>
      </c>
      <c r="I52" t="inlineStr">
        <is>
          <t>Validar con normativa vigente o autoridad competente</t>
        </is>
      </c>
      <c r="J52" t="inlineStr">
        <is>
          <t>Mensual</t>
        </is>
      </c>
      <c r="K52" t="inlineStr">
        <is>
          <t>Certificados del mes</t>
        </is>
      </c>
      <c r="L52" t="inlineStr">
        <is>
          <t>Revisión documental</t>
        </is>
      </c>
      <c r="M52" t="inlineStr">
        <is>
          <t>Disposición autorizada acreditada</t>
        </is>
      </c>
      <c r="N52" t="inlineStr">
        <is>
          <t>Obligación contenida en el Plan de Manejo</t>
        </is>
      </c>
      <c r="O52" t="inlineStr">
        <is>
          <t>Expreso en el Plan de Manejo</t>
        </is>
      </c>
      <c r="P52" t="n">
        <v>1</v>
      </c>
    </row>
    <row r="53">
      <c r="A53" t="inlineStr">
        <is>
          <t>REQ-052</t>
        </is>
      </c>
      <c r="B53" t="inlineStr">
        <is>
          <t>Control de plagas</t>
        </is>
      </c>
      <c r="C53" t="inlineStr">
        <is>
          <t>Vectores</t>
        </is>
      </c>
      <c r="D53" t="inlineStr">
        <is>
          <t>Operación</t>
        </is>
      </c>
      <c r="E53" t="inlineStr">
        <is>
          <t>Instalación completa</t>
        </is>
      </c>
      <c r="F53" t="inlineStr">
        <is>
          <t>Control de vectores</t>
        </is>
      </c>
      <c r="G53" t="inlineStr">
        <is>
          <t>Sin proliferación de vectores</t>
        </is>
      </c>
      <c r="H53" t="inlineStr">
        <is>
          <t>Plan de Manejo Ambiental Específico para Instalación de Faenas Río Ventisquero, Rev. 1</t>
        </is>
      </c>
      <c r="I53" t="inlineStr">
        <is>
          <t>Plan de Manejo Ambiental Específico para Instalación de Faenas Río Ventisquero, Rev. 1</t>
        </is>
      </c>
      <c r="J53" t="inlineStr">
        <is>
          <t>Mensual</t>
        </is>
      </c>
      <c r="K53" t="inlineStr">
        <is>
          <t>Control efectivo</t>
        </is>
      </c>
      <c r="L53" t="inlineStr">
        <is>
          <t>Inspección visual</t>
        </is>
      </c>
      <c r="M53" t="inlineStr">
        <is>
          <t>Vectores controlados</t>
        </is>
      </c>
      <c r="N53" t="inlineStr">
        <is>
          <t>Obligación contenida en el Plan de Manejo</t>
        </is>
      </c>
      <c r="O53" t="inlineStr">
        <is>
          <t>Expreso en el Plan de Manejo</t>
        </is>
      </c>
      <c r="P53" t="n">
        <v>1</v>
      </c>
    </row>
    <row r="54">
      <c r="A54" t="inlineStr">
        <is>
          <t>REQ-053</t>
        </is>
      </c>
      <c r="B54" t="inlineStr">
        <is>
          <t>Residuos domiciliarios y asimilables</t>
        </is>
      </c>
      <c r="C54" t="inlineStr">
        <is>
          <t>Acumulación</t>
        </is>
      </c>
      <c r="D54" t="inlineStr">
        <is>
          <t>Operación</t>
        </is>
      </c>
      <c r="E54" t="inlineStr">
        <is>
          <t>Instalación completa</t>
        </is>
      </c>
      <c r="F54" t="inlineStr">
        <is>
          <t>Ausencia de acumulación de residuos</t>
        </is>
      </c>
      <c r="G54" t="inlineStr">
        <is>
          <t>Sin acopios fuera de sectores habilitados</t>
        </is>
      </c>
      <c r="H54" t="inlineStr">
        <is>
          <t>Plan de Manejo Ambiental Específico para Instalación de Faenas Río Ventisquero, Rev. 1</t>
        </is>
      </c>
      <c r="I54" t="inlineStr">
        <is>
          <t>Plan de Manejo Ambiental Específico para Instalación de Faenas Río Ventisquero, Rev. 1</t>
        </is>
      </c>
      <c r="J54" t="inlineStr">
        <is>
          <t>Semanal</t>
        </is>
      </c>
      <c r="K54" t="inlineStr">
        <is>
          <t>Sin acumulación</t>
        </is>
      </c>
      <c r="L54" t="inlineStr">
        <is>
          <t>Inspección visual</t>
        </is>
      </c>
      <c r="M54" t="inlineStr">
        <is>
          <t>Instalación sin acumulación</t>
        </is>
      </c>
      <c r="N54" t="inlineStr">
        <is>
          <t>Obligación contenida en el Plan de Manejo</t>
        </is>
      </c>
      <c r="O54" t="inlineStr">
        <is>
          <t>Expreso en el Plan de Manejo</t>
        </is>
      </c>
      <c r="P54" t="n">
        <v>1</v>
      </c>
    </row>
    <row r="55">
      <c r="A55" t="inlineStr">
        <is>
          <t>REQ-054</t>
        </is>
      </c>
      <c r="B55" t="inlineStr">
        <is>
          <t>Declaración RCD</t>
        </is>
      </c>
      <c r="C55" t="inlineStr">
        <is>
          <t>Reporte mensual</t>
        </is>
      </c>
      <c r="D55" t="inlineStr">
        <is>
          <t>Operación</t>
        </is>
      </c>
      <c r="E55" t="inlineStr">
        <is>
          <t>Oficina ambiental</t>
        </is>
      </c>
      <c r="F55" t="inlineStr">
        <is>
          <t>Reporte mensual Planilla RCD</t>
        </is>
      </c>
      <c r="G55" t="inlineStr">
        <is>
          <t>RCD reportado mensualmente</t>
        </is>
      </c>
      <c r="H55" t="inlineStr">
        <is>
          <t>Plan de Manejo Ambiental Específico para Instalación de Faenas Río Ventisquero, Rev. 1</t>
        </is>
      </c>
      <c r="I55" t="inlineStr">
        <is>
          <t>Validar con normativa vigente o autoridad competente</t>
        </is>
      </c>
      <c r="J55" t="inlineStr">
        <is>
          <t>Mensual</t>
        </is>
      </c>
      <c r="K55" t="inlineStr">
        <is>
          <t>Planilla RCD del mes</t>
        </is>
      </c>
      <c r="L55" t="inlineStr">
        <is>
          <t>Revisión documental</t>
        </is>
      </c>
      <c r="M55" t="inlineStr">
        <is>
          <t>RCD reportado</t>
        </is>
      </c>
      <c r="N55" t="inlineStr">
        <is>
          <t>Obligación contenida en el Plan de Manejo</t>
        </is>
      </c>
      <c r="O55" t="inlineStr">
        <is>
          <t>Derivado del Plan de Manejo</t>
        </is>
      </c>
      <c r="P55" t="n">
        <v>1</v>
      </c>
    </row>
    <row r="56">
      <c r="A56" t="inlineStr">
        <is>
          <t>REQ-055</t>
        </is>
      </c>
      <c r="B56" t="inlineStr">
        <is>
          <t>Bodega RESPEL</t>
        </is>
      </c>
      <c r="C56" t="inlineStr">
        <is>
          <t>Infraestructura</t>
        </is>
      </c>
      <c r="D56" t="inlineStr">
        <is>
          <t>Operación</t>
        </is>
      </c>
      <c r="E56" t="inlineStr">
        <is>
          <t>Bodega RESPEL</t>
        </is>
      </c>
      <c r="F56" t="inlineStr">
        <is>
          <t>Bodega RESPEL con radier impermeable</t>
        </is>
      </c>
      <c r="G56" t="inlineStr">
        <is>
          <t>Piso impermeabilizado y drenaje controlado</t>
        </is>
      </c>
      <c r="H56" t="inlineStr">
        <is>
          <t>Plan de Manejo Ambiental Específico para Instalación de Faenas Río Ventisquero, Rev. 1</t>
        </is>
      </c>
      <c r="I56" t="inlineStr">
        <is>
          <t>DS 148</t>
        </is>
      </c>
      <c r="J56" t="inlineStr">
        <is>
          <t>Mensual</t>
        </is>
      </c>
      <c r="K56" t="inlineStr">
        <is>
          <t>Radier conforme</t>
        </is>
      </c>
      <c r="L56" t="inlineStr">
        <is>
          <t>Inspección visual</t>
        </is>
      </c>
      <c r="M56" t="inlineStr">
        <is>
          <t>Infraestructura conforme</t>
        </is>
      </c>
      <c r="N56" t="inlineStr">
        <is>
          <t>Obligación contenida en el Plan de Manejo</t>
        </is>
      </c>
      <c r="O56" t="inlineStr">
        <is>
          <t>Expreso en el Plan de Manejo</t>
        </is>
      </c>
      <c r="P56" t="n">
        <v>1</v>
      </c>
    </row>
    <row r="57">
      <c r="A57" t="inlineStr">
        <is>
          <t>REQ-056</t>
        </is>
      </c>
      <c r="B57" t="inlineStr">
        <is>
          <t>Bodega RESPEL</t>
        </is>
      </c>
      <c r="C57" t="inlineStr">
        <is>
          <t>Señalización</t>
        </is>
      </c>
      <c r="D57" t="inlineStr">
        <is>
          <t>Operación</t>
        </is>
      </c>
      <c r="E57" t="inlineStr">
        <is>
          <t>Bodega RESPEL</t>
        </is>
      </c>
      <c r="F57" t="inlineStr">
        <is>
          <t>Señalización de bodega RESPEL</t>
        </is>
      </c>
      <c r="G57" t="inlineStr">
        <is>
          <t>Señalética RESPEL visible</t>
        </is>
      </c>
      <c r="H57" t="inlineStr">
        <is>
          <t>Plan de Manejo Ambiental Específico para Instalación de Faenas Río Ventisquero, Rev. 1</t>
        </is>
      </c>
      <c r="I57" t="inlineStr">
        <is>
          <t>DS 148</t>
        </is>
      </c>
      <c r="J57" t="inlineStr">
        <is>
          <t>Mensual</t>
        </is>
      </c>
      <c r="K57" t="inlineStr">
        <is>
          <t>Señalización conforme</t>
        </is>
      </c>
      <c r="L57" t="inlineStr">
        <is>
          <t>Inspección visual</t>
        </is>
      </c>
      <c r="M57" t="inlineStr">
        <is>
          <t>Señalización operativa</t>
        </is>
      </c>
      <c r="N57" t="inlineStr">
        <is>
          <t>Exigencia legal o reglamentaria</t>
        </is>
      </c>
      <c r="O57" t="inlineStr">
        <is>
          <t>Norma o permiso aplicable</t>
        </is>
      </c>
      <c r="P57" t="n">
        <v>1</v>
      </c>
    </row>
    <row r="58">
      <c r="A58" t="inlineStr">
        <is>
          <t>REQ-057</t>
        </is>
      </c>
      <c r="B58" t="inlineStr">
        <is>
          <t>Residuos peligrosos</t>
        </is>
      </c>
      <c r="C58" t="inlineStr">
        <is>
          <t>Almacenamiento</t>
        </is>
      </c>
      <c r="D58" t="inlineStr">
        <is>
          <t>Operación</t>
        </is>
      </c>
      <c r="E58" t="inlineStr">
        <is>
          <t>Bodega RESPEL</t>
        </is>
      </c>
      <c r="F58" t="inlineStr">
        <is>
          <t>Compatibilidad y contenedores cerrados etiquetados</t>
        </is>
      </c>
      <c r="G58" t="inlineStr">
        <is>
          <t>Almacenamiento compatible y rotulado</t>
        </is>
      </c>
      <c r="H58" t="inlineStr">
        <is>
          <t>Plan de Manejo Ambiental Específico para Instalación de Faenas Río Ventisquero, Rev. 1</t>
        </is>
      </c>
      <c r="I58" t="inlineStr">
        <is>
          <t>DS 148</t>
        </is>
      </c>
      <c r="J58" t="inlineStr">
        <is>
          <t>Semanal</t>
        </is>
      </c>
      <c r="K58" t="inlineStr">
        <is>
          <t>Contenedores cerrados y etiquetados</t>
        </is>
      </c>
      <c r="L58" t="inlineStr">
        <is>
          <t>Inspección visual</t>
        </is>
      </c>
      <c r="M58" t="inlineStr">
        <is>
          <t>Almacenamiento conforme</t>
        </is>
      </c>
      <c r="N58" t="inlineStr">
        <is>
          <t>Obligación contenida en el Plan de Manejo</t>
        </is>
      </c>
      <c r="O58" t="inlineStr">
        <is>
          <t>Expreso en el Plan de Manejo</t>
        </is>
      </c>
      <c r="P58" t="n">
        <v>1</v>
      </c>
    </row>
    <row r="59">
      <c r="A59" t="inlineStr">
        <is>
          <t>REQ-058</t>
        </is>
      </c>
      <c r="B59" t="inlineStr">
        <is>
          <t>Residuos peligrosos</t>
        </is>
      </c>
      <c r="C59" t="inlineStr">
        <is>
          <t>Registro</t>
        </is>
      </c>
      <c r="D59" t="inlineStr">
        <is>
          <t>Operación</t>
        </is>
      </c>
      <c r="E59" t="inlineStr">
        <is>
          <t>Bodega RESPEL</t>
        </is>
      </c>
      <c r="F59" t="inlineStr">
        <is>
          <t>Registro de ingreso y salida RESPEL</t>
        </is>
      </c>
      <c r="G59" t="inlineStr">
        <is>
          <t>Libro o registro actualizado</t>
        </is>
      </c>
      <c r="H59" t="inlineStr">
        <is>
          <t>Plan de Manejo Ambiental Específico para Instalación de Faenas Río Ventisquero, Rev. 1</t>
        </is>
      </c>
      <c r="I59" t="inlineStr">
        <is>
          <t>DS 148</t>
        </is>
      </c>
      <c r="J59" t="inlineStr">
        <is>
          <t>Mensual</t>
        </is>
      </c>
      <c r="K59" t="inlineStr">
        <is>
          <t>Registro completo</t>
        </is>
      </c>
      <c r="L59" t="inlineStr">
        <is>
          <t>Revisión documental</t>
        </is>
      </c>
      <c r="M59" t="inlineStr">
        <is>
          <t>Trazabilidad RESPEL</t>
        </is>
      </c>
      <c r="N59" t="inlineStr">
        <is>
          <t>Obligación contenida en el Plan de Manejo</t>
        </is>
      </c>
      <c r="O59" t="inlineStr">
        <is>
          <t>Expreso en el Plan de Manejo</t>
        </is>
      </c>
      <c r="P59" t="n">
        <v>1</v>
      </c>
    </row>
    <row r="60">
      <c r="A60" t="inlineStr">
        <is>
          <t>REQ-059</t>
        </is>
      </c>
      <c r="B60" t="inlineStr">
        <is>
          <t>Residuos peligrosos</t>
        </is>
      </c>
      <c r="C60" t="inlineStr">
        <is>
          <t>Tiempo almacenamiento</t>
        </is>
      </c>
      <c r="D60" t="inlineStr">
        <is>
          <t>Operación</t>
        </is>
      </c>
      <c r="E60" t="inlineStr">
        <is>
          <t>Bodega RESPEL</t>
        </is>
      </c>
      <c r="F60" t="inlineStr">
        <is>
          <t>Tiempo de almacenamiento ≤ 6 meses</t>
        </is>
      </c>
      <c r="G60" t="inlineStr">
        <is>
          <t>Sin RESPEL almacenado por más de 6 meses</t>
        </is>
      </c>
      <c r="H60" t="inlineStr">
        <is>
          <t>Plan de Manejo Ambiental Específico para Instalación de Faenas Río Ventisquero, Rev. 1</t>
        </is>
      </c>
      <c r="I60" t="inlineStr">
        <is>
          <t>DS 148</t>
        </is>
      </c>
      <c r="J60" t="inlineStr">
        <is>
          <t>Mensual</t>
        </is>
      </c>
      <c r="K60" t="inlineStr">
        <is>
          <t>Antigüedad ≤ 6 meses</t>
        </is>
      </c>
      <c r="L60" t="inlineStr">
        <is>
          <t>Revisión de registro</t>
        </is>
      </c>
      <c r="M60" t="inlineStr">
        <is>
          <t>Plazo de almacenamiento cumplido</t>
        </is>
      </c>
      <c r="N60" t="inlineStr">
        <is>
          <t>Exigencia legal o reglamentaria</t>
        </is>
      </c>
      <c r="O60" t="inlineStr">
        <is>
          <t>Norma o permiso aplicable</t>
        </is>
      </c>
      <c r="P60" t="n">
        <v>1</v>
      </c>
    </row>
    <row r="61">
      <c r="A61" t="inlineStr">
        <is>
          <t>REQ-060</t>
        </is>
      </c>
      <c r="B61" t="inlineStr">
        <is>
          <t>Transporte y disposición final</t>
        </is>
      </c>
      <c r="C61" t="inlineStr">
        <is>
          <t>RESPEL</t>
        </is>
      </c>
      <c r="D61" t="inlineStr">
        <is>
          <t>Operación</t>
        </is>
      </c>
      <c r="E61" t="inlineStr">
        <is>
          <t>Bodega RESPEL</t>
        </is>
      </c>
      <c r="F61" t="inlineStr">
        <is>
          <t>Transporte y disposición RESPEL autorizados</t>
        </is>
      </c>
      <c r="G61" t="inlineStr">
        <is>
          <t>Manifiestos y certificados de disposición</t>
        </is>
      </c>
      <c r="H61" t="inlineStr">
        <is>
          <t>Plan de Manejo Ambiental Específico para Instalación de Faenas Río Ventisquero, Rev. 1</t>
        </is>
      </c>
      <c r="I61" t="inlineStr">
        <is>
          <t>DS 148</t>
        </is>
      </c>
      <c r="J61" t="inlineStr">
        <is>
          <t>Mensual</t>
        </is>
      </c>
      <c r="K61" t="inlineStr">
        <is>
          <t>Manifiestos del mes</t>
        </is>
      </c>
      <c r="L61" t="inlineStr">
        <is>
          <t>Revisión documental</t>
        </is>
      </c>
      <c r="M61" t="inlineStr">
        <is>
          <t>Disposición RESPEL acreditada</t>
        </is>
      </c>
      <c r="N61" t="inlineStr">
        <is>
          <t>Obligación contenida en el Plan de Manejo</t>
        </is>
      </c>
      <c r="O61" t="inlineStr">
        <is>
          <t>Expreso en el Plan de Manejo</t>
        </is>
      </c>
      <c r="P61" t="n">
        <v>1</v>
      </c>
    </row>
    <row r="62">
      <c r="A62" t="inlineStr">
        <is>
          <t>REQ-061</t>
        </is>
      </c>
      <c r="B62" t="inlineStr">
        <is>
          <t>Residuos peligrosos</t>
        </is>
      </c>
      <c r="C62" t="inlineStr">
        <is>
          <t>Aceites y filtros</t>
        </is>
      </c>
      <c r="D62" t="inlineStr">
        <is>
          <t>Operación</t>
        </is>
      </c>
      <c r="E62" t="inlineStr">
        <is>
          <t>Taller/bodega</t>
        </is>
      </c>
      <c r="F62" t="inlineStr">
        <is>
          <t>Control de aceites usados, filtros, baterías y similares</t>
        </is>
      </c>
      <c r="G62" t="inlineStr">
        <is>
          <t>RESPEL segregados y gestionados</t>
        </is>
      </c>
      <c r="H62" t="inlineStr">
        <is>
          <t>Plan de Manejo Ambiental Específico para Instalación de Faenas Río Ventisquero, Rev. 1</t>
        </is>
      </c>
      <c r="I62" t="inlineStr">
        <is>
          <t>DS 148</t>
        </is>
      </c>
      <c r="J62" t="inlineStr">
        <is>
          <t>Mensual</t>
        </is>
      </c>
      <c r="K62" t="inlineStr">
        <is>
          <t>RESPEL identificados y gestionados</t>
        </is>
      </c>
      <c r="L62" t="inlineStr">
        <is>
          <t>Inspección y revisión registros</t>
        </is>
      </c>
      <c r="M62" t="inlineStr">
        <is>
          <t>Gestión conforme</t>
        </is>
      </c>
      <c r="N62" t="inlineStr">
        <is>
          <t>Obligación contenida en el Plan de Manejo</t>
        </is>
      </c>
      <c r="O62" t="inlineStr">
        <is>
          <t>Expreso en el Plan de Manejo</t>
        </is>
      </c>
      <c r="P62" t="n">
        <v>1</v>
      </c>
    </row>
    <row r="63">
      <c r="A63" t="inlineStr">
        <is>
          <t>REQ-062</t>
        </is>
      </c>
      <c r="B63" t="inlineStr">
        <is>
          <t>Orden y limpieza</t>
        </is>
      </c>
      <c r="C63" t="inlineStr">
        <is>
          <t>General</t>
        </is>
      </c>
      <c r="D63" t="inlineStr">
        <is>
          <t>Operación</t>
        </is>
      </c>
      <c r="E63" t="inlineStr">
        <is>
          <t>Instalación completa</t>
        </is>
      </c>
      <c r="F63" t="inlineStr">
        <is>
          <t>Orden general de la instalación</t>
        </is>
      </c>
      <c r="G63" t="inlineStr">
        <is>
          <t>Instalación ordenada y limpia</t>
        </is>
      </c>
      <c r="H63" t="inlineStr">
        <is>
          <t>Plan de Manejo Ambiental Específico para Instalación de Faenas Río Ventisquero, Rev. 1</t>
        </is>
      </c>
      <c r="I63" t="inlineStr">
        <is>
          <t>Plan de Manejo Ambiental Específico para Instalación de Faenas Río Ventisquero, Rev. 1</t>
        </is>
      </c>
      <c r="J63" t="inlineStr">
        <is>
          <t>Semanal</t>
        </is>
      </c>
      <c r="K63" t="inlineStr">
        <is>
          <t>Orden y limpieza general</t>
        </is>
      </c>
      <c r="L63" t="inlineStr">
        <is>
          <t>Inspección visual</t>
        </is>
      </c>
      <c r="M63" t="inlineStr">
        <is>
          <t>Instalación ordenada</t>
        </is>
      </c>
      <c r="N63" t="inlineStr">
        <is>
          <t>Obligación contenida en el Plan de Manejo</t>
        </is>
      </c>
      <c r="O63" t="inlineStr">
        <is>
          <t>Expreso en el Plan de Manejo</t>
        </is>
      </c>
      <c r="P63" t="n">
        <v>1</v>
      </c>
    </row>
    <row r="64">
      <c r="A64" t="inlineStr">
        <is>
          <t>REQ-063</t>
        </is>
      </c>
      <c r="B64" t="inlineStr">
        <is>
          <t>Control de accesos</t>
        </is>
      </c>
      <c r="C64" t="inlineStr">
        <is>
          <t>Perímetro</t>
        </is>
      </c>
      <c r="D64" t="inlineStr">
        <is>
          <t>Operación</t>
        </is>
      </c>
      <c r="E64" t="inlineStr">
        <is>
          <t>Acceso principal</t>
        </is>
      </c>
      <c r="F64" t="inlineStr">
        <is>
          <t>Cierre perimetral y portón cerrado</t>
        </is>
      </c>
      <c r="G64" t="inlineStr">
        <is>
          <t>Perímetro cerrado con control de acceso</t>
        </is>
      </c>
      <c r="H64" t="inlineStr">
        <is>
          <t>Plan de Manejo Ambiental Específico para Instalación de Faenas Río Ventisquero, Rev. 1</t>
        </is>
      </c>
      <c r="I64" t="inlineStr">
        <is>
          <t>Plan de Manejo Ambiental Específico para Instalación de Faenas Río Ventisquero, Rev. 1</t>
        </is>
      </c>
      <c r="J64" t="inlineStr">
        <is>
          <t>Diaria</t>
        </is>
      </c>
      <c r="K64" t="inlineStr">
        <is>
          <t>Portón y cerco operativos</t>
        </is>
      </c>
      <c r="L64" t="inlineStr">
        <is>
          <t>Inspección visual</t>
        </is>
      </c>
      <c r="M64" t="inlineStr">
        <is>
          <t>Acceso controlado</t>
        </is>
      </c>
      <c r="N64" t="inlineStr">
        <is>
          <t>Obligación contenida en el Plan de Manejo</t>
        </is>
      </c>
      <c r="O64" t="inlineStr">
        <is>
          <t>Expreso en el Plan de Manejo</t>
        </is>
      </c>
      <c r="P64" t="n">
        <v>1</v>
      </c>
    </row>
    <row r="65">
      <c r="A65" t="inlineStr">
        <is>
          <t>REQ-064</t>
        </is>
      </c>
      <c r="B65" t="inlineStr">
        <is>
          <t>Ocupación del área</t>
        </is>
      </c>
      <c r="C65" t="inlineStr">
        <is>
          <t>Faja fiscal</t>
        </is>
      </c>
      <c r="D65" t="inlineStr">
        <is>
          <t>Operación</t>
        </is>
      </c>
      <c r="E65" t="inlineStr">
        <is>
          <t>Perímetro</t>
        </is>
      </c>
      <c r="F65" t="inlineStr">
        <is>
          <t>Ausencia de acopios en faja fiscal</t>
        </is>
      </c>
      <c r="G65" t="inlineStr">
        <is>
          <t>Sin materiales en faja fiscal</t>
        </is>
      </c>
      <c r="H65" t="inlineStr">
        <is>
          <t>Plan de Manejo Ambiental Específico para Instalación de Faenas Río Ventisquero, Rev. 1</t>
        </is>
      </c>
      <c r="I65" t="inlineStr">
        <is>
          <t>Plan de Manejo Ambiental Específico para Instalación de Faenas Río Ventisquero, Rev. 1</t>
        </is>
      </c>
      <c r="J65" t="inlineStr">
        <is>
          <t>Semanal</t>
        </is>
      </c>
      <c r="K65" t="inlineStr">
        <is>
          <t>Faja fiscal libre</t>
        </is>
      </c>
      <c r="L65" t="inlineStr">
        <is>
          <t>Inspección visual</t>
        </is>
      </c>
      <c r="M65" t="inlineStr">
        <is>
          <t>Sin acopios en faja fiscal</t>
        </is>
      </c>
      <c r="N65" t="inlineStr">
        <is>
          <t>Obligación contenida en el Plan de Manejo</t>
        </is>
      </c>
      <c r="O65" t="inlineStr">
        <is>
          <t>Expreso en el Plan de Manejo</t>
        </is>
      </c>
      <c r="P65" t="n">
        <v>1</v>
      </c>
    </row>
    <row r="66">
      <c r="A66" t="inlineStr">
        <is>
          <t>REQ-065</t>
        </is>
      </c>
      <c r="B66" t="inlineStr">
        <is>
          <t>Flujo y tránsito de maquinaria</t>
        </is>
      </c>
      <c r="C66" t="inlineStr">
        <is>
          <t>Ruta 7</t>
        </is>
      </c>
      <c r="D66" t="inlineStr">
        <is>
          <t>Operación</t>
        </is>
      </c>
      <c r="E66" t="inlineStr">
        <is>
          <t>Acceso Ruta 7</t>
        </is>
      </c>
      <c r="F66" t="inlineStr">
        <is>
          <t>Ausencia de camiones/maquinaria estacionados en Ruta 7</t>
        </is>
      </c>
      <c r="G66" t="inlineStr">
        <is>
          <t>Estacionamiento solo en instalación</t>
        </is>
      </c>
      <c r="H66" t="inlineStr">
        <is>
          <t>Plan de Manejo Ambiental Específico para Instalación de Faenas Río Ventisquero, Rev. 1</t>
        </is>
      </c>
      <c r="I66" t="inlineStr">
        <is>
          <t>Plan de Manejo Ambiental Específico para Instalación de Faenas Río Ventisquero, Rev. 1</t>
        </is>
      </c>
      <c r="J66" t="inlineStr">
        <is>
          <t>Semanal</t>
        </is>
      </c>
      <c r="K66" t="inlineStr">
        <is>
          <t>Sin estacionamiento en ruta</t>
        </is>
      </c>
      <c r="L66" t="inlineStr">
        <is>
          <t>Inspección visual</t>
        </is>
      </c>
      <c r="M66" t="inlineStr">
        <is>
          <t>Cumplimiento verificado</t>
        </is>
      </c>
      <c r="N66" t="inlineStr">
        <is>
          <t>Obligación contenida en el Plan de Manejo</t>
        </is>
      </c>
      <c r="O66" t="inlineStr">
        <is>
          <t>Expreso en el Plan de Manejo</t>
        </is>
      </c>
      <c r="P66" t="n">
        <v>1</v>
      </c>
    </row>
    <row r="67">
      <c r="A67" t="inlineStr">
        <is>
          <t>REQ-066</t>
        </is>
      </c>
      <c r="B67" t="inlineStr">
        <is>
          <t>Señalización</t>
        </is>
      </c>
      <c r="C67" t="inlineStr">
        <is>
          <t>Interna</t>
        </is>
      </c>
      <c r="D67" t="inlineStr">
        <is>
          <t>Operación</t>
        </is>
      </c>
      <c r="E67" t="inlineStr">
        <is>
          <t>Instalación completa</t>
        </is>
      </c>
      <c r="F67" t="inlineStr">
        <is>
          <t>Señalización interna y de velocidad</t>
        </is>
      </c>
      <c r="G67" t="inlineStr">
        <is>
          <t>Señalética visible y mantenida</t>
        </is>
      </c>
      <c r="H67" t="inlineStr">
        <is>
          <t>Plan de Manejo Ambiental Específico para Instalación de Faenas Río Ventisquero, Rev. 1</t>
        </is>
      </c>
      <c r="I67" t="inlineStr">
        <is>
          <t>Plan de Manejo Ambiental Específico para Instalación de Faenas Río Ventisquero, Rev. 1</t>
        </is>
      </c>
      <c r="J67" t="inlineStr">
        <is>
          <t>Mensual</t>
        </is>
      </c>
      <c r="K67" t="inlineStr">
        <is>
          <t>Señalización operativa</t>
        </is>
      </c>
      <c r="L67" t="inlineStr">
        <is>
          <t>Inspección visual</t>
        </is>
      </c>
      <c r="M67" t="inlineStr">
        <is>
          <t>Señalización conforme</t>
        </is>
      </c>
      <c r="N67" t="inlineStr">
        <is>
          <t>Obligación contenida en el Plan de Manejo</t>
        </is>
      </c>
      <c r="O67" t="inlineStr">
        <is>
          <t>Expreso en el Plan de Manejo</t>
        </is>
      </c>
      <c r="P67" t="n">
        <v>1</v>
      </c>
    </row>
    <row r="68">
      <c r="A68" t="inlineStr">
        <is>
          <t>REQ-067</t>
        </is>
      </c>
      <c r="B68" t="inlineStr">
        <is>
          <t>Condiciones generales de operación</t>
        </is>
      </c>
      <c r="C68" t="inlineStr">
        <is>
          <t>Instalaciones</t>
        </is>
      </c>
      <c r="D68" t="inlineStr">
        <is>
          <t>Operación</t>
        </is>
      </c>
      <c r="E68" t="inlineStr">
        <is>
          <t>Bodegas/oficinas/comedor</t>
        </is>
      </c>
      <c r="F68" t="inlineStr">
        <is>
          <t>Estado de bodegas, oficinas, comedor, laboratorio y taller</t>
        </is>
      </c>
      <c r="G68" t="inlineStr">
        <is>
          <t>Instalaciones en condiciones higiénicas</t>
        </is>
      </c>
      <c r="H68" t="inlineStr">
        <is>
          <t>Plan de Manejo Ambiental Específico para Instalación de Faenas Río Ventisquero, Rev. 1</t>
        </is>
      </c>
      <c r="I68" t="inlineStr">
        <is>
          <t>Plan de Manejo Ambiental Específico para Instalación de Faenas Río Ventisquero, Rev. 1</t>
        </is>
      </c>
      <c r="J68" t="inlineStr">
        <is>
          <t>Mensual</t>
        </is>
      </c>
      <c r="K68" t="inlineStr">
        <is>
          <t>Instalaciones conformes</t>
        </is>
      </c>
      <c r="L68" t="inlineStr">
        <is>
          <t>Inspección visual</t>
        </is>
      </c>
      <c r="M68" t="inlineStr">
        <is>
          <t>Condiciones adecuadas</t>
        </is>
      </c>
      <c r="N68" t="inlineStr">
        <is>
          <t>Obligación contenida en el Plan de Manejo</t>
        </is>
      </c>
      <c r="O68" t="inlineStr">
        <is>
          <t>Derivado del Plan de Manejo</t>
        </is>
      </c>
      <c r="P68" t="n">
        <v>1</v>
      </c>
    </row>
    <row r="69">
      <c r="A69" t="inlineStr">
        <is>
          <t>REQ-068</t>
        </is>
      </c>
      <c r="B69" t="inlineStr">
        <is>
          <t>Condiciones generales de operación</t>
        </is>
      </c>
      <c r="C69" t="inlineStr">
        <is>
          <t>Quemas</t>
        </is>
      </c>
      <c r="D69" t="inlineStr">
        <is>
          <t>Operación</t>
        </is>
      </c>
      <c r="E69" t="inlineStr">
        <is>
          <t>Instalación completa</t>
        </is>
      </c>
      <c r="F69" t="inlineStr">
        <is>
          <t>Ausencia de quemas al aire libre</t>
        </is>
      </c>
      <c r="G69" t="inlineStr">
        <is>
          <t>Prohibición de quemas cumplida</t>
        </is>
      </c>
      <c r="H69" t="inlineStr">
        <is>
          <t>Plan de Manejo Ambiental Específico para Instalación de Faenas Río Ventisquero, Rev. 1</t>
        </is>
      </c>
      <c r="I69" t="inlineStr">
        <is>
          <t>Ley 19.300 / DS 12</t>
        </is>
      </c>
      <c r="J69" t="inlineStr">
        <is>
          <t>Semanal</t>
        </is>
      </c>
      <c r="K69" t="inlineStr">
        <is>
          <t>Sin quemas</t>
        </is>
      </c>
      <c r="L69" t="inlineStr">
        <is>
          <t>Inspección visual</t>
        </is>
      </c>
      <c r="M69" t="inlineStr">
        <is>
          <t>Sin quemas detectadas</t>
        </is>
      </c>
      <c r="N69" t="inlineStr">
        <is>
          <t>Exigencia legal o reglamentaria</t>
        </is>
      </c>
      <c r="O69" t="inlineStr">
        <is>
          <t>Norma o permiso aplicable</t>
        </is>
      </c>
      <c r="P69" t="n">
        <v>1</v>
      </c>
    </row>
    <row r="70">
      <c r="A70" t="inlineStr">
        <is>
          <t>REQ-069</t>
        </is>
      </c>
      <c r="B70" t="inlineStr">
        <is>
          <t>Flora y fauna</t>
        </is>
      </c>
      <c r="C70" t="inlineStr">
        <is>
          <t>Prohibición caza</t>
        </is>
      </c>
      <c r="D70" t="inlineStr">
        <is>
          <t>Operación</t>
        </is>
      </c>
      <c r="E70" t="inlineStr">
        <is>
          <t>Instalación completa</t>
        </is>
      </c>
      <c r="F70" t="inlineStr">
        <is>
          <t>Prohibición de cazar</t>
        </is>
      </c>
      <c r="G70" t="inlineStr">
        <is>
          <t>Personal inducido y cumplimiento verificado</t>
        </is>
      </c>
      <c r="H70" t="inlineStr">
        <is>
          <t>Plan de Manejo Ambiental Específico para Instalación de Faenas Río Ventisquero, Rev. 1</t>
        </is>
      </c>
      <c r="I70" t="inlineStr">
        <is>
          <t>Plan de Manejo Ambiental Específico para Instalación de Faenas Río Ventisquero, Rev. 1</t>
        </is>
      </c>
      <c r="J70" t="inlineStr">
        <is>
          <t>Mensual</t>
        </is>
      </c>
      <c r="K70" t="inlineStr">
        <is>
          <t>Sin evidencia de caza</t>
        </is>
      </c>
      <c r="L70" t="inlineStr">
        <is>
          <t>Inducción y observación</t>
        </is>
      </c>
      <c r="M70" t="inlineStr">
        <is>
          <t>Prohibición cumplida</t>
        </is>
      </c>
      <c r="N70" t="inlineStr">
        <is>
          <t>Obligación contenida en el Plan de Manejo</t>
        </is>
      </c>
      <c r="O70" t="inlineStr">
        <is>
          <t>Expreso en el Plan de Manejo</t>
        </is>
      </c>
      <c r="P70" t="n">
        <v>1</v>
      </c>
    </row>
    <row r="71">
      <c r="A71" t="inlineStr">
        <is>
          <t>REQ-070</t>
        </is>
      </c>
      <c r="B71" t="inlineStr">
        <is>
          <t>Prohibición de caza y alimentación de fauna</t>
        </is>
      </c>
      <c r="C71" t="inlineStr">
        <is>
          <t>Alimentación fauna</t>
        </is>
      </c>
      <c r="D71" t="inlineStr">
        <is>
          <t>Operación</t>
        </is>
      </c>
      <c r="E71" t="inlineStr">
        <is>
          <t>Instalación completa</t>
        </is>
      </c>
      <c r="F71" t="inlineStr">
        <is>
          <t>Prohibición de alimentar fauna</t>
        </is>
      </c>
      <c r="G71" t="inlineStr">
        <is>
          <t>Sin alimentación de fauna silvestre</t>
        </is>
      </c>
      <c r="H71" t="inlineStr">
        <is>
          <t>Plan de Manejo Ambiental Específico para Instalación de Faenas Río Ventisquero, Rev. 1</t>
        </is>
      </c>
      <c r="I71" t="inlineStr">
        <is>
          <t>Plan de Manejo Ambiental Específico para Instalación de Faenas Río Ventisquero, Rev. 1</t>
        </is>
      </c>
      <c r="J71" t="inlineStr">
        <is>
          <t>Mensual</t>
        </is>
      </c>
      <c r="K71" t="inlineStr">
        <is>
          <t>Sin alimentación de fauna</t>
        </is>
      </c>
      <c r="L71" t="inlineStr">
        <is>
          <t>Inspección e inducción</t>
        </is>
      </c>
      <c r="M71" t="inlineStr">
        <is>
          <t>Prohibición cumplida</t>
        </is>
      </c>
      <c r="N71" t="inlineStr">
        <is>
          <t>Obligación contenida en el Plan de Manejo</t>
        </is>
      </c>
      <c r="O71" t="inlineStr">
        <is>
          <t>Expreso en el Plan de Manejo</t>
        </is>
      </c>
      <c r="P71" t="n">
        <v>1</v>
      </c>
    </row>
    <row r="72">
      <c r="A72" t="inlineStr">
        <is>
          <t>REQ-071</t>
        </is>
      </c>
      <c r="B72" t="inlineStr">
        <is>
          <t>Flora y fauna</t>
        </is>
      </c>
      <c r="C72" t="inlineStr">
        <is>
          <t>Flora</t>
        </is>
      </c>
      <c r="D72" t="inlineStr">
        <is>
          <t>Operación</t>
        </is>
      </c>
      <c r="E72" t="inlineStr">
        <is>
          <t>Perímetro instalación</t>
        </is>
      </c>
      <c r="F72" t="inlineStr">
        <is>
          <t>Prohibición de afectar flora sin autorización</t>
        </is>
      </c>
      <c r="G72" t="inlineStr">
        <is>
          <t>Sin intervención fuera del área autorizada</t>
        </is>
      </c>
      <c r="H72" t="inlineStr">
        <is>
          <t>Plan de Manejo Ambiental Específico para Instalación de Faenas Río Ventisquero, Rev. 1</t>
        </is>
      </c>
      <c r="I72" t="inlineStr">
        <is>
          <t>Plan de Manejo Ambiental Específico para Instalación de Faenas Río Ventisquero, Rev. 1</t>
        </is>
      </c>
      <c r="J72" t="inlineStr">
        <is>
          <t>Mensual</t>
        </is>
      </c>
      <c r="K72" t="inlineStr">
        <is>
          <t>Sin afectación no autorizada</t>
        </is>
      </c>
      <c r="L72" t="inlineStr">
        <is>
          <t>Inspección visual</t>
        </is>
      </c>
      <c r="M72" t="inlineStr">
        <is>
          <t>Flora protegida</t>
        </is>
      </c>
      <c r="N72" t="inlineStr">
        <is>
          <t>Obligación contenida en el Plan de Manejo</t>
        </is>
      </c>
      <c r="O72" t="inlineStr">
        <is>
          <t>Expreso en el Plan de Manejo</t>
        </is>
      </c>
      <c r="P72" t="n">
        <v>1</v>
      </c>
    </row>
    <row r="73">
      <c r="A73" t="inlineStr">
        <is>
          <t>REQ-072</t>
        </is>
      </c>
      <c r="B73" t="inlineStr">
        <is>
          <t>Patrimonio arqueológico</t>
        </is>
      </c>
      <c r="C73" t="inlineStr">
        <is>
          <t>Hallazgos</t>
        </is>
      </c>
      <c r="D73" t="inlineStr">
        <is>
          <t>Operación</t>
        </is>
      </c>
      <c r="E73" t="inlineStr">
        <is>
          <t>Instalación completa</t>
        </is>
      </c>
      <c r="F73" t="inlineStr">
        <is>
          <t>Ausencia de hallazgos arqueológicos o gestión conforme</t>
        </is>
      </c>
      <c r="G73" t="inlineStr">
        <is>
          <t>Procedimiento ante hallazgos disponible</t>
        </is>
      </c>
      <c r="H73" t="inlineStr">
        <is>
          <t>Plan de Manejo Ambiental Específico para Instalación de Faenas Río Ventisquero, Rev. 1</t>
        </is>
      </c>
      <c r="I73" t="inlineStr">
        <is>
          <t>Ley 17.288 / CMN</t>
        </is>
      </c>
      <c r="J73" t="inlineStr">
        <is>
          <t>Mensual</t>
        </is>
      </c>
      <c r="K73" t="inlineStr">
        <is>
          <t>Sin hallazgos o gestión conforme</t>
        </is>
      </c>
      <c r="L73" t="inlineStr">
        <is>
          <t>Inspección y revisión procedimiento</t>
        </is>
      </c>
      <c r="M73" t="inlineStr">
        <is>
          <t>Patrimonio protegido</t>
        </is>
      </c>
      <c r="N73" t="inlineStr">
        <is>
          <t>Exigencia legal o reglamentaria</t>
        </is>
      </c>
      <c r="O73" t="inlineStr">
        <is>
          <t>Norma o permiso aplicable</t>
        </is>
      </c>
      <c r="P73" t="n">
        <v>1</v>
      </c>
    </row>
    <row r="74">
      <c r="A74" t="inlineStr">
        <is>
          <t>REQ-073</t>
        </is>
      </c>
      <c r="B74" t="inlineStr">
        <is>
          <t>Capacitación e inducción ambiental</t>
        </is>
      </c>
      <c r="C74" t="inlineStr">
        <is>
          <t>Inducción</t>
        </is>
      </c>
      <c r="D74" t="inlineStr">
        <is>
          <t>Operación</t>
        </is>
      </c>
      <c r="E74" t="inlineStr">
        <is>
          <t>Instalación completa</t>
        </is>
      </c>
      <c r="F74" t="inlineStr">
        <is>
          <t>Registro de inducción al personal</t>
        </is>
      </c>
      <c r="G74" t="inlineStr">
        <is>
          <t>Personal inducido en materias ambientales</t>
        </is>
      </c>
      <c r="H74" t="inlineStr">
        <is>
          <t>Plan de Manejo Ambiental Específico para Instalación de Faenas Río Ventisquero, Rev. 1</t>
        </is>
      </c>
      <c r="I74" t="inlineStr">
        <is>
          <t>Plan de Manejo Ambiental Específico para Instalación de Faenas Río Ventisquero, Rev. 1</t>
        </is>
      </c>
      <c r="J74" t="inlineStr">
        <is>
          <t>Mensual</t>
        </is>
      </c>
      <c r="K74" t="inlineStr">
        <is>
          <t>Listas de asistencia vigentes</t>
        </is>
      </c>
      <c r="L74" t="inlineStr">
        <is>
          <t>Revisión documental</t>
        </is>
      </c>
      <c r="M74" t="inlineStr">
        <is>
          <t>Inducciones registradas</t>
        </is>
      </c>
      <c r="N74" t="inlineStr">
        <is>
          <t>Obligación contenida en el Plan de Manejo</t>
        </is>
      </c>
      <c r="O74" t="inlineStr">
        <is>
          <t>Expreso en el Plan de Manejo</t>
        </is>
      </c>
      <c r="P74" t="n">
        <v>1</v>
      </c>
    </row>
    <row r="75">
      <c r="A75" t="inlineStr">
        <is>
          <t>REQ-074</t>
        </is>
      </c>
      <c r="B75" t="inlineStr">
        <is>
          <t>Río Ventisquero</t>
        </is>
      </c>
      <c r="C75" t="inlineStr">
        <is>
          <t>Entorno</t>
        </is>
      </c>
      <c r="D75" t="inlineStr">
        <is>
          <t>Operación</t>
        </is>
      </c>
      <c r="E75" t="inlineStr">
        <is>
          <t>Perímetro río</t>
        </is>
      </c>
      <c r="F75" t="inlineStr">
        <is>
          <t>Protección del entorno del río Ventisquero</t>
        </is>
      </c>
      <c r="G75" t="inlineStr">
        <is>
          <t>Buenas prácticas en zona de interés turístico</t>
        </is>
      </c>
      <c r="H75" t="inlineStr">
        <is>
          <t>Plan de Manejo Ambiental Específico para Instalación de Faenas Río Ventisquero, Rev. 1</t>
        </is>
      </c>
      <c r="I75" t="inlineStr">
        <is>
          <t>Plan de Manejo Ambiental Específico para Instalación de Faenas Río Ventisquero, Rev. 1</t>
        </is>
      </c>
      <c r="J75" t="inlineStr">
        <is>
          <t>Mensual</t>
        </is>
      </c>
      <c r="K75" t="inlineStr">
        <is>
          <t>Entorno protegido</t>
        </is>
      </c>
      <c r="L75" t="inlineStr">
        <is>
          <t>Inspección visual</t>
        </is>
      </c>
      <c r="M75" t="inlineStr">
        <is>
          <t>Protección del entorno</t>
        </is>
      </c>
      <c r="N75" t="inlineStr">
        <is>
          <t>Obligación contenida en el Plan de Manejo</t>
        </is>
      </c>
      <c r="O75" t="inlineStr">
        <is>
          <t>Expreso en el Plan de Manejo</t>
        </is>
      </c>
      <c r="P75" t="n">
        <v>1</v>
      </c>
    </row>
    <row r="76">
      <c r="A76" t="inlineStr">
        <is>
          <t>REQ-075</t>
        </is>
      </c>
      <c r="B76" t="inlineStr">
        <is>
          <t>Relaciones con la comunidad</t>
        </is>
      </c>
      <c r="C76" t="inlineStr">
        <is>
          <t>Inducción</t>
        </is>
      </c>
      <c r="D76" t="inlineStr">
        <is>
          <t>Operación</t>
        </is>
      </c>
      <c r="E76" t="inlineStr">
        <is>
          <t>Instalación completa</t>
        </is>
      </c>
      <c r="F76" t="inlineStr">
        <is>
          <t>Inducción buenas prácticas con la comunidad</t>
        </is>
      </c>
      <c r="G76" t="inlineStr">
        <is>
          <t>Personal inducido en relación comunitaria</t>
        </is>
      </c>
      <c r="H76" t="inlineStr">
        <is>
          <t>Plan de Manejo Ambiental Específico para Instalación de Faenas Río Ventisquero, Rev. 1</t>
        </is>
      </c>
      <c r="I76" t="inlineStr">
        <is>
          <t>Plan de Manejo Ambiental Específico para Instalación de Faenas Río Ventisquero, Rev. 1</t>
        </is>
      </c>
      <c r="J76" t="inlineStr">
        <is>
          <t>Mensual</t>
        </is>
      </c>
      <c r="K76" t="inlineStr">
        <is>
          <t>Inducción realizada</t>
        </is>
      </c>
      <c r="L76" t="inlineStr">
        <is>
          <t>Revisión listas de asistencia</t>
        </is>
      </c>
      <c r="M76" t="inlineStr">
        <is>
          <t>Inducción comunitaria cumplida</t>
        </is>
      </c>
      <c r="N76" t="inlineStr">
        <is>
          <t>Obligación contenida en el Plan de Manejo</t>
        </is>
      </c>
      <c r="O76" t="inlineStr">
        <is>
          <t>Expreso en el Plan de Manejo</t>
        </is>
      </c>
      <c r="P76" t="n">
        <v>1</v>
      </c>
    </row>
    <row r="77">
      <c r="A77" t="inlineStr">
        <is>
          <t>REQ-076</t>
        </is>
      </c>
      <c r="B77" t="inlineStr">
        <is>
          <t>Relaciones con la comunidad</t>
        </is>
      </c>
      <c r="C77" t="inlineStr">
        <is>
          <t>Vecinos</t>
        </is>
      </c>
      <c r="D77" t="inlineStr">
        <is>
          <t>Operación</t>
        </is>
      </c>
      <c r="E77" t="inlineStr">
        <is>
          <t>Acceso/Puyuhuapi</t>
        </is>
      </c>
      <c r="F77" t="inlineStr">
        <is>
          <t>Respeto a vecinos y residentes de Puyuhuapi</t>
        </is>
      </c>
      <c r="G77" t="inlineStr">
        <is>
          <t>Conducta respetuosa del personal</t>
        </is>
      </c>
      <c r="H77" t="inlineStr">
        <is>
          <t>Plan de Manejo Ambiental Específico para Instalación de Faenas Río Ventisquero, Rev. 1</t>
        </is>
      </c>
      <c r="I77" t="inlineStr">
        <is>
          <t>Plan de Manejo Ambiental Específico para Instalación de Faenas Río Ventisquero, Rev. 1</t>
        </is>
      </c>
      <c r="J77" t="inlineStr">
        <is>
          <t>Mensual</t>
        </is>
      </c>
      <c r="K77" t="inlineStr">
        <is>
          <t>Sin conflictos registrados</t>
        </is>
      </c>
      <c r="L77" t="inlineStr">
        <is>
          <t>Revisión de reclamos</t>
        </is>
      </c>
      <c r="M77" t="inlineStr">
        <is>
          <t>Relación respetuosa</t>
        </is>
      </c>
      <c r="N77" t="inlineStr">
        <is>
          <t>Obligación contenida en el Plan de Manejo</t>
        </is>
      </c>
      <c r="O77" t="inlineStr">
        <is>
          <t>Derivado del Plan de Manejo</t>
        </is>
      </c>
      <c r="P77" t="n">
        <v>1</v>
      </c>
    </row>
    <row r="78">
      <c r="A78" t="inlineStr">
        <is>
          <t>REQ-077</t>
        </is>
      </c>
      <c r="B78" t="inlineStr">
        <is>
          <t>Relaciones con la comunidad</t>
        </is>
      </c>
      <c r="C78" t="inlineStr">
        <is>
          <t>Turismo</t>
        </is>
      </c>
      <c r="D78" t="inlineStr">
        <is>
          <t>Operación</t>
        </is>
      </c>
      <c r="E78" t="inlineStr">
        <is>
          <t>Acceso Queulat</t>
        </is>
      </c>
      <c r="F78" t="inlineStr">
        <is>
          <t>Respeto a visitantes Parque Nacional Queulat</t>
        </is>
      </c>
      <c r="G78" t="inlineStr">
        <is>
          <t>Conducta respetuosa en vías de acceso</t>
        </is>
      </c>
      <c r="H78" t="inlineStr">
        <is>
          <t>Plan de Manejo Ambiental Específico para Instalación de Faenas Río Ventisquero, Rev. 1</t>
        </is>
      </c>
      <c r="I78" t="inlineStr">
        <is>
          <t>Plan de Manejo Ambiental Específico para Instalación de Faenas Río Ventisquero, Rev. 1</t>
        </is>
      </c>
      <c r="J78" t="inlineStr">
        <is>
          <t>Mensual</t>
        </is>
      </c>
      <c r="K78" t="inlineStr">
        <is>
          <t>Sin incidentes con visitantes</t>
        </is>
      </c>
      <c r="L78" t="inlineStr">
        <is>
          <t>Revisión de reclamos</t>
        </is>
      </c>
      <c r="M78" t="inlineStr">
        <is>
          <t>Buenas prácticas turísticas</t>
        </is>
      </c>
      <c r="N78" t="inlineStr">
        <is>
          <t>Obligación contenida en el Plan de Manejo</t>
        </is>
      </c>
      <c r="O78" t="inlineStr">
        <is>
          <t>Derivado del Plan de Manejo</t>
        </is>
      </c>
      <c r="P78" t="n">
        <v>1</v>
      </c>
    </row>
    <row r="79">
      <c r="A79" t="inlineStr">
        <is>
          <t>REQ-078</t>
        </is>
      </c>
      <c r="B79" t="inlineStr">
        <is>
          <t>Relaciones con la comunidad</t>
        </is>
      </c>
      <c r="C79" t="inlineStr">
        <is>
          <t>Reclamos</t>
        </is>
      </c>
      <c r="D79" t="inlineStr">
        <is>
          <t>Operación</t>
        </is>
      </c>
      <c r="E79" t="inlineStr">
        <is>
          <t>Comunidad</t>
        </is>
      </c>
      <c r="F79" t="inlineStr">
        <is>
          <t>Registro de reclamos y respuestas comunitarias</t>
        </is>
      </c>
      <c r="G79" t="inlineStr">
        <is>
          <t>Reclamos registrados y respondidos</t>
        </is>
      </c>
      <c r="H79" t="inlineStr">
        <is>
          <t>Plan de Manejo Ambiental Específico para Instalación de Faenas Río Ventisquero, Rev. 1</t>
        </is>
      </c>
      <c r="I79" t="inlineStr">
        <is>
          <t>Plan de Manejo Ambiental Específico para Instalación de Faenas Río Ventisquero, Rev. 1</t>
        </is>
      </c>
      <c r="J79" t="inlineStr">
        <is>
          <t>Mensual</t>
        </is>
      </c>
      <c r="K79" t="inlineStr">
        <is>
          <t>Registro de reclamos actualizado</t>
        </is>
      </c>
      <c r="L79" t="inlineStr">
        <is>
          <t>Revisión documental</t>
        </is>
      </c>
      <c r="M79" t="inlineStr">
        <is>
          <t>Reclamos gestionados</t>
        </is>
      </c>
      <c r="N79" t="inlineStr">
        <is>
          <t>Obligación contenida en el Plan de Manejo</t>
        </is>
      </c>
      <c r="O79" t="inlineStr">
        <is>
          <t>Derivado del Plan de Manejo</t>
        </is>
      </c>
      <c r="P79" t="n">
        <v>1</v>
      </c>
    </row>
    <row r="80">
      <c r="A80" t="inlineStr">
        <is>
          <t>REQ-079</t>
        </is>
      </c>
      <c r="B80" t="inlineStr">
        <is>
          <t>Contratación de mano de obra local</t>
        </is>
      </c>
      <c r="C80" t="inlineStr">
        <is>
          <t>Empleo local</t>
        </is>
      </c>
      <c r="D80" t="inlineStr">
        <is>
          <t>Operación</t>
        </is>
      </c>
      <c r="E80" t="inlineStr">
        <is>
          <t>RRHH</t>
        </is>
      </c>
      <c r="F80" t="inlineStr">
        <is>
          <t>Contratación de mano de obra local cuando corresponda</t>
        </is>
      </c>
      <c r="G80" t="inlineStr">
        <is>
          <t>Cumplimiento de compromiso de empleo local</t>
        </is>
      </c>
      <c r="H80" t="inlineStr">
        <is>
          <t>Plan de Manejo Ambiental Específico para Instalación de Faenas Río Ventisquero, Rev. 1</t>
        </is>
      </c>
      <c r="I80" t="inlineStr">
        <is>
          <t>Bases contractuales</t>
        </is>
      </c>
      <c r="J80" t="inlineStr">
        <is>
          <t>Mensual</t>
        </is>
      </c>
      <c r="K80" t="inlineStr">
        <is>
          <t>Registro de contrataciones locales</t>
        </is>
      </c>
      <c r="L80" t="inlineStr">
        <is>
          <t>Revisión documental</t>
        </is>
      </c>
      <c r="M80" t="inlineStr">
        <is>
          <t>Compromiso verificado</t>
        </is>
      </c>
      <c r="N80" t="inlineStr">
        <is>
          <t>Compromiso contractual</t>
        </is>
      </c>
      <c r="O80" t="inlineStr">
        <is>
          <t>Requiere validación</t>
        </is>
      </c>
      <c r="P80" t="n">
        <v>1</v>
      </c>
    </row>
    <row r="81">
      <c r="A81" t="inlineStr">
        <is>
          <t>REQ-080</t>
        </is>
      </c>
      <c r="B81" t="inlineStr">
        <is>
          <t>ZOIT Aysén Patagonia Queulat</t>
        </is>
      </c>
      <c r="C81" t="inlineStr">
        <is>
          <t>Cumplimiento ZOIT</t>
        </is>
      </c>
      <c r="D81" t="inlineStr">
        <is>
          <t>Operación</t>
        </is>
      </c>
      <c r="E81" t="inlineStr">
        <is>
          <t>Instalación completa</t>
        </is>
      </c>
      <c r="F81" t="inlineStr">
        <is>
          <t>Cumplimiento disposiciones ZOIT cuando aplique</t>
        </is>
      </c>
      <c r="G81" t="inlineStr">
        <is>
          <t>Actividades conforme a zona de interés turístico</t>
        </is>
      </c>
      <c r="H81" t="inlineStr">
        <is>
          <t>Plan de Manejo Ambiental Específico para Instalación de Faenas Río Ventisquero, Rev. 1</t>
        </is>
      </c>
      <c r="I81" t="inlineStr">
        <is>
          <t>Validar con normativa vigente o autoridad competente</t>
        </is>
      </c>
      <c r="J81" t="inlineStr">
        <is>
          <t>Mensual</t>
        </is>
      </c>
      <c r="K81" t="inlineStr">
        <is>
          <t>Sin infracciones ZOIT</t>
        </is>
      </c>
      <c r="L81" t="inlineStr">
        <is>
          <t>Revisión normativa y observación</t>
        </is>
      </c>
      <c r="M81" t="inlineStr">
        <is>
          <t>Cumplimiento ZOIT</t>
        </is>
      </c>
      <c r="N81" t="inlineStr">
        <is>
          <t>Exigencia legal o reglamentaria</t>
        </is>
      </c>
      <c r="O81" t="inlineStr">
        <is>
          <t>Requiere validación</t>
        </is>
      </c>
      <c r="P81" t="n">
        <v>1</v>
      </c>
    </row>
    <row r="82">
      <c r="A82" t="inlineStr">
        <is>
          <t>REQ-081</t>
        </is>
      </c>
      <c r="B82" t="inlineStr">
        <is>
          <t>Abandono y cierre de la instalación</t>
        </is>
      </c>
      <c r="C82" t="inlineStr">
        <is>
          <t>Retiro instalaciones</t>
        </is>
      </c>
      <c r="D82" t="inlineStr">
        <is>
          <t>Cierre</t>
        </is>
      </c>
      <c r="E82" t="inlineStr">
        <is>
          <t>Instalación completa</t>
        </is>
      </c>
      <c r="F82" t="inlineStr">
        <is>
          <t>Retiro de instalaciones al cierre</t>
        </is>
      </c>
      <c r="G82" t="inlineStr">
        <is>
          <t>Cuando corresponda, retiro conforme al PMA</t>
        </is>
      </c>
      <c r="H82" t="inlineStr">
        <is>
          <t>Plan de Manejo Ambiental Específico para Instalación de Faenas Río Ventisquero, Rev. 1</t>
        </is>
      </c>
      <c r="I82" t="inlineStr">
        <is>
          <t>Plan de Manejo Ambiental Específico para Instalación de Faenas Río Ventisquero, Rev. 1</t>
        </is>
      </c>
      <c r="J82" t="inlineStr">
        <is>
          <t>Eventual</t>
        </is>
      </c>
      <c r="K82" t="inlineStr">
        <is>
          <t>Retiro conforme plan de cierre</t>
        </is>
      </c>
      <c r="L82" t="inlineStr">
        <is>
          <t>Inspección visual</t>
        </is>
      </c>
      <c r="M82" t="inlineStr">
        <is>
          <t>Cierre progresivo conforme</t>
        </is>
      </c>
      <c r="N82" t="inlineStr">
        <is>
          <t>Obligación contenida en el Plan de Manejo</t>
        </is>
      </c>
      <c r="O82" t="inlineStr">
        <is>
          <t>Expreso en el Plan de Manejo</t>
        </is>
      </c>
      <c r="P82" t="n">
        <v>1</v>
      </c>
    </row>
    <row r="83">
      <c r="A83" t="inlineStr">
        <is>
          <t>REQ-082</t>
        </is>
      </c>
      <c r="B83" t="inlineStr">
        <is>
          <t>Abandono y cierre de la instalación</t>
        </is>
      </c>
      <c r="C83" t="inlineStr">
        <is>
          <t>Restitución terreno</t>
        </is>
      </c>
      <c r="D83" t="inlineStr">
        <is>
          <t>Cierre</t>
        </is>
      </c>
      <c r="E83" t="inlineStr">
        <is>
          <t>Terreno 1,6 ha</t>
        </is>
      </c>
      <c r="F83" t="inlineStr">
        <is>
          <t>Nivelación y restitución del terreno</t>
        </is>
      </c>
      <c r="G83" t="inlineStr">
        <is>
          <t>Terreno restituido según compromiso</t>
        </is>
      </c>
      <c r="H83" t="inlineStr">
        <is>
          <t>Plan de Manejo Ambiental Específico para Instalación de Faenas Río Ventisquero, Rev. 1</t>
        </is>
      </c>
      <c r="I83" t="inlineStr">
        <is>
          <t>Plan de Manejo Ambiental Específico para Instalación de Faenas Río Ventisquero, Rev. 1</t>
        </is>
      </c>
      <c r="J83" t="inlineStr">
        <is>
          <t>Eventual</t>
        </is>
      </c>
      <c r="K83" t="inlineStr">
        <is>
          <t>Restitución conforme</t>
        </is>
      </c>
      <c r="L83" t="inlineStr">
        <is>
          <t>Inspección y acta</t>
        </is>
      </c>
      <c r="M83" t="inlineStr">
        <is>
          <t>Terreno restituido</t>
        </is>
      </c>
      <c r="N83" t="inlineStr">
        <is>
          <t>Obligación contenida en el Plan de Manejo</t>
        </is>
      </c>
      <c r="O83" t="inlineStr">
        <is>
          <t>Expreso en el Plan de Manejo</t>
        </is>
      </c>
      <c r="P83" t="n">
        <v>1</v>
      </c>
    </row>
    <row r="84">
      <c r="A84" t="inlineStr">
        <is>
          <t>REQ-083</t>
        </is>
      </c>
      <c r="B84" t="inlineStr">
        <is>
          <t>Abandono y cierre de la instalación</t>
        </is>
      </c>
      <c r="C84" t="inlineStr">
        <is>
          <t>Informe cierre</t>
        </is>
      </c>
      <c r="D84" t="inlineStr">
        <is>
          <t>Cierre</t>
        </is>
      </c>
      <c r="E84" t="inlineStr">
        <is>
          <t>Oficina ambiental</t>
        </is>
      </c>
      <c r="F84" t="inlineStr">
        <is>
          <t>Entrega informe de cierre al Inspector Fiscal</t>
        </is>
      </c>
      <c r="G84" t="inlineStr">
        <is>
          <t>Informe de cierre elaborado y entregado</t>
        </is>
      </c>
      <c r="H84" t="inlineStr">
        <is>
          <t>Plan de Manejo Ambiental Específico para Instalación de Faenas Río Ventisquero, Rev. 1</t>
        </is>
      </c>
      <c r="I84" t="inlineStr">
        <is>
          <t>Bases contractuales</t>
        </is>
      </c>
      <c r="J84" t="inlineStr">
        <is>
          <t>Eventual</t>
        </is>
      </c>
      <c r="K84" t="inlineStr">
        <is>
          <t>Informe entregado con folio</t>
        </is>
      </c>
      <c r="L84" t="inlineStr">
        <is>
          <t>Revisión documental</t>
        </is>
      </c>
      <c r="M84" t="inlineStr">
        <is>
          <t>Cierre documentado</t>
        </is>
      </c>
      <c r="N84" t="inlineStr">
        <is>
          <t>Compromiso contractual</t>
        </is>
      </c>
      <c r="O84" t="inlineStr">
        <is>
          <t>Derivado del Plan de Manejo</t>
        </is>
      </c>
      <c r="P8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K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5" customWidth="1" min="3" max="3"/>
    <col width="16" customWidth="1" min="4" max="4"/>
    <col width="27" customWidth="1" min="5" max="5"/>
    <col width="45" customWidth="1" min="6" max="6"/>
    <col width="45" customWidth="1" min="7" max="7"/>
    <col width="45" customWidth="1" min="8" max="8"/>
    <col width="45" customWidth="1" min="9" max="9"/>
    <col width="20" customWidth="1" min="10" max="10"/>
    <col width="45" customWidth="1" min="11" max="11"/>
    <col width="41" customWidth="1" min="12" max="12"/>
    <col width="38" customWidth="1" min="13" max="13"/>
    <col width="21" customWidth="1" min="14" max="14"/>
    <col width="16" customWidth="1" min="15" max="15"/>
    <col width="32" customWidth="1" min="16" max="16"/>
    <col width="16" customWidth="1" min="17" max="17"/>
    <col width="20" customWidth="1" min="18" max="18"/>
    <col width="18" customWidth="1" min="19" max="19"/>
    <col width="20" customWidth="1" min="20" max="20"/>
    <col width="26" customWidth="1" min="21" max="21"/>
    <col width="31" customWidth="1" min="22" max="22"/>
    <col width="27" customWidth="1" min="23" max="23"/>
    <col width="19" customWidth="1" min="24" max="24"/>
    <col width="45" customWidth="1" min="25" max="25"/>
    <col width="30" customWidth="1" min="26" max="26"/>
    <col width="17" customWidth="1" min="27" max="27"/>
    <col width="23" customWidth="1" min="28" max="28"/>
    <col width="14" customWidth="1" min="29" max="29"/>
    <col width="28" customWidth="1" min="30" max="30"/>
    <col width="12" customWidth="1" min="31" max="31"/>
    <col width="14" customWidth="1" min="32" max="32"/>
    <col width="24" customWidth="1" min="33" max="33"/>
    <col width="45" customWidth="1" min="34" max="34"/>
    <col width="45" customWidth="1" min="35" max="35"/>
    <col width="43" customWidth="1" min="36" max="36"/>
    <col width="30" customWidth="1" min="37" max="37"/>
  </cols>
  <sheetData>
    <row r="1">
      <c r="A1" s="8" t="inlineStr">
        <is>
          <t>ID requisito</t>
        </is>
      </c>
      <c r="B1" s="8" t="inlineStr">
        <is>
          <t>Componente ambiental</t>
        </is>
      </c>
      <c r="C1" s="8" t="inlineStr">
        <is>
          <t>Subcomponente</t>
        </is>
      </c>
      <c r="D1" s="8" t="inlineStr">
        <is>
          <t>Etapa proyecto</t>
        </is>
      </c>
      <c r="E1" s="8" t="inlineStr">
        <is>
          <t>Área/ubicación</t>
        </is>
      </c>
      <c r="F1" s="8" t="inlineStr">
        <is>
          <t>Requisito auditable</t>
        </is>
      </c>
      <c r="G1" s="8" t="inlineStr">
        <is>
          <t>Medida/obligación/compromiso</t>
        </is>
      </c>
      <c r="H1" s="8" t="inlineStr">
        <is>
          <t>Fuente documental</t>
        </is>
      </c>
      <c r="I1" s="8" t="inlineStr">
        <is>
          <t>Norma/permiso/referencia</t>
        </is>
      </c>
      <c r="J1" s="8" t="inlineStr">
        <is>
          <t>Frecuencia control</t>
        </is>
      </c>
      <c r="K1" s="8" t="inlineStr">
        <is>
          <t>Indicador/criterio verificación</t>
        </is>
      </c>
      <c r="L1" s="8" t="inlineStr">
        <is>
          <t>Método verificación</t>
        </is>
      </c>
      <c r="M1" s="8" t="inlineStr">
        <is>
          <t>Resultado esperado</t>
        </is>
      </c>
      <c r="N1" s="8" t="inlineStr">
        <is>
          <t>Estado cumplimiento</t>
        </is>
      </c>
      <c r="O1" s="8" t="inlineStr">
        <is>
          <t>Nivel hallazgo</t>
        </is>
      </c>
      <c r="P1" s="8" t="inlineStr">
        <is>
          <t>Descripción evidencia revisada</t>
        </is>
      </c>
      <c r="Q1" s="8" t="inlineStr">
        <is>
          <t>Tipo evidencia</t>
        </is>
      </c>
      <c r="R1" s="8" t="inlineStr">
        <is>
          <t>Documento respaldo</t>
        </is>
      </c>
      <c r="S1" s="8" t="inlineStr">
        <is>
          <t>Enlace evidencia</t>
        </is>
      </c>
      <c r="T1" s="8" t="inlineStr">
        <is>
          <t>Fecha verificación</t>
        </is>
      </c>
      <c r="U1" s="8" t="inlineStr">
        <is>
          <t>Responsable verificación</t>
        </is>
      </c>
      <c r="V1" s="8" t="inlineStr">
        <is>
          <t>Responsable acción correctiva</t>
        </is>
      </c>
      <c r="W1" s="8" t="inlineStr">
        <is>
          <t>Fecha comprometida cierre</t>
        </is>
      </c>
      <c r="X1" s="8" t="inlineStr">
        <is>
          <t>Fecha real cierre</t>
        </is>
      </c>
      <c r="Y1" s="8" t="inlineStr">
        <is>
          <t>Días atraso</t>
        </is>
      </c>
      <c r="Z1" s="8" t="inlineStr">
        <is>
          <t>Acción correctiva/preventiva</t>
        </is>
      </c>
      <c r="AA1" s="8" t="inlineStr">
        <is>
          <t>Estado hallazgo</t>
        </is>
      </c>
      <c r="AB1" s="8" t="inlineStr">
        <is>
          <t>Observaciones auditor</t>
        </is>
      </c>
      <c r="AC1" s="8" t="inlineStr">
        <is>
          <t>Comunicar IF</t>
        </is>
      </c>
      <c r="AD1" s="8" t="inlineStr">
        <is>
          <t>Folio comunicación/informe</t>
        </is>
      </c>
      <c r="AE1" s="8" t="inlineStr">
        <is>
          <t>Foto antes</t>
        </is>
      </c>
      <c r="AF1" s="8" t="inlineStr">
        <is>
          <t>Foto después</t>
        </is>
      </c>
      <c r="AG1" s="8" t="inlineStr">
        <is>
          <t>Validación responsable</t>
        </is>
      </c>
      <c r="AH1" s="8" t="inlineStr">
        <is>
          <t>Ponderación</t>
        </is>
      </c>
      <c r="AI1" s="8" t="inlineStr">
        <is>
          <t>% cumplimiento fila</t>
        </is>
      </c>
      <c r="AJ1" s="8" t="inlineStr">
        <is>
          <t>Tipo obligación</t>
        </is>
      </c>
      <c r="AK1" s="8" t="inlineStr">
        <is>
          <t>Nivel certeza requisito</t>
        </is>
      </c>
    </row>
    <row r="2">
      <c r="A2" t="inlineStr">
        <is>
          <t>REQ-001</t>
        </is>
      </c>
      <c r="B2" t="inlineStr">
        <is>
          <t>Autorizaciones y permisos</t>
        </is>
      </c>
      <c r="C2" t="inlineStr">
        <is>
          <t>Plan de Manejo</t>
        </is>
      </c>
      <c r="D2" t="inlineStr">
        <is>
          <t>Operación</t>
        </is>
      </c>
      <c r="E2" t="inlineStr">
        <is>
          <t>Oficina ambiental</t>
        </is>
      </c>
      <c r="F2" t="inlineStr">
        <is>
          <t>Disponibilidad del PMA aprobado Rev. 1</t>
        </is>
      </c>
      <c r="G2" t="inlineStr">
        <is>
          <t>Mantener PMA aprobado disponible para fiscalización</t>
        </is>
      </c>
      <c r="H2" t="inlineStr">
        <is>
          <t>Plan de Manejo Ambiental Específico para Instalación de Faenas Río Ventisquero, Rev. 1</t>
        </is>
      </c>
      <c r="I2" t="inlineStr">
        <is>
          <t>Validar con normativa vigente o autoridad competente</t>
        </is>
      </c>
      <c r="J2" t="inlineStr">
        <is>
          <t>Mensual</t>
        </is>
      </c>
      <c r="K2" t="inlineStr">
        <is>
          <t>Documento vigente y accesible</t>
        </is>
      </c>
      <c r="L2" t="inlineStr">
        <is>
          <t>Revisión documental</t>
        </is>
      </c>
      <c r="M2" t="inlineStr">
        <is>
          <t>PMA Rev. 1 disponible y legible</t>
        </is>
      </c>
      <c r="N2" t="inlineStr"/>
      <c r="O2" t="inlineStr"/>
      <c r="P2" t="inlineStr"/>
      <c r="Q2" t="inlineStr"/>
      <c r="R2" t="inlineStr"/>
      <c r="S2" t="inlineStr"/>
      <c r="T2" s="9" t="inlineStr"/>
      <c r="U2" t="inlineStr"/>
      <c r="V2" t="inlineStr"/>
      <c r="W2" s="9" t="inlineStr"/>
      <c r="X2" s="9" t="inlineStr"/>
      <c r="Y2">
        <f>SI(Y(W2&lt;&gt;"";X2="");HOY()-W2;SI(Y(W2&lt;&gt;"";X2&lt;&gt;"");X2-W2;""))</f>
        <v/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>
        <f>SI(N2="Cumple";Config!$B$9;SI(N2="Cumple parcialmente";Config!$B$10;SI(N2="No cumple";Config!$B$11;SI(N2="En proceso de regularización";Config!$B$12;SI(N2="No aplica";"NA";"PEND")))))</f>
        <v/>
      </c>
      <c r="AI2">
        <f>SI(AH2="NA";"NA";SI(AH2="PEND";"PEND";AH2*100))</f>
        <v/>
      </c>
      <c r="AJ2" t="inlineStr">
        <is>
          <t>Obligación contenida en el Plan de Manejo</t>
        </is>
      </c>
      <c r="AK2" t="inlineStr">
        <is>
          <t>Expreso en el Plan de Manejo</t>
        </is>
      </c>
    </row>
    <row r="3">
      <c r="A3" t="inlineStr">
        <is>
          <t>REQ-002</t>
        </is>
      </c>
      <c r="B3" t="inlineStr">
        <is>
          <t>Autorizaciones y permisos</t>
        </is>
      </c>
      <c r="C3" t="inlineStr">
        <is>
          <t>Agua potable</t>
        </is>
      </c>
      <c r="D3" t="inlineStr">
        <is>
          <t>Operación</t>
        </is>
      </c>
      <c r="E3" t="inlineStr">
        <is>
          <t>Sistema AP</t>
        </is>
      </c>
      <c r="F3" t="inlineStr">
        <is>
          <t>Autorización sistema de agua potable particular</t>
        </is>
      </c>
      <c r="G3" t="inlineStr">
        <is>
          <t>Contar con aprobación sanitaria del sistema AP</t>
        </is>
      </c>
      <c r="H3" t="inlineStr">
        <is>
          <t>Plan de Manejo Ambiental Específico para Instalación de Faenas Río Ventisquero, Rev. 1</t>
        </is>
      </c>
      <c r="I3" t="inlineStr">
        <is>
          <t>DS 594 / Validar con SEREMI de Salud</t>
        </is>
      </c>
      <c r="J3" t="inlineStr">
        <is>
          <t>Mensual</t>
        </is>
      </c>
      <c r="K3" t="inlineStr">
        <is>
          <t>Resolución o certificado vigente</t>
        </is>
      </c>
      <c r="L3" t="inlineStr">
        <is>
          <t>Revisión documental</t>
        </is>
      </c>
      <c r="M3" t="inlineStr">
        <is>
          <t>Autorización vigente disponible</t>
        </is>
      </c>
      <c r="N3" t="inlineStr"/>
      <c r="O3" t="inlineStr"/>
      <c r="P3" t="inlineStr"/>
      <c r="Q3" t="inlineStr"/>
      <c r="R3" t="inlineStr"/>
      <c r="S3" t="inlineStr"/>
      <c r="T3" s="9" t="inlineStr"/>
      <c r="U3" t="inlineStr"/>
      <c r="V3" t="inlineStr"/>
      <c r="W3" s="9" t="inlineStr"/>
      <c r="X3" s="9" t="inlineStr"/>
      <c r="Y3">
        <f>SI(Y(W3&lt;&gt;"";X3="");HOY()-W3;SI(Y(W3&lt;&gt;"";X3&lt;&gt;"");X3-W3;""))</f>
        <v/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>
        <f>SI(N3="Cumple";Config!$B$9;SI(N3="Cumple parcialmente";Config!$B$10;SI(N3="No cumple";Config!$B$11;SI(N3="En proceso de regularización";Config!$B$12;SI(N3="No aplica";"NA";"PEND")))))</f>
        <v/>
      </c>
      <c r="AI3">
        <f>SI(AH3="NA";"NA";SI(AH3="PEND";"PEND";AH3*100))</f>
        <v/>
      </c>
      <c r="AJ3" t="inlineStr">
        <is>
          <t>Obligación contenida en el Plan de Manejo</t>
        </is>
      </c>
      <c r="AK3" t="inlineStr">
        <is>
          <t>Expreso en el Plan de Manejo</t>
        </is>
      </c>
    </row>
    <row r="4">
      <c r="A4" t="inlineStr">
        <is>
          <t>REQ-003</t>
        </is>
      </c>
      <c r="B4" t="inlineStr">
        <is>
          <t>Autorizaciones y permisos</t>
        </is>
      </c>
      <c r="C4" t="inlineStr">
        <is>
          <t>Alcantarillado</t>
        </is>
      </c>
      <c r="D4" t="inlineStr">
        <is>
          <t>Operación</t>
        </is>
      </c>
      <c r="E4" t="inlineStr">
        <is>
          <t>Sistema AS</t>
        </is>
      </c>
      <c r="F4" t="inlineStr">
        <is>
          <t>Autorización sistema de alcantarillado particular</t>
        </is>
      </c>
      <c r="G4" t="inlineStr">
        <is>
          <t>Contar con aprobación del sistema AS</t>
        </is>
      </c>
      <c r="H4" t="inlineStr">
        <is>
          <t>Plan de Manejo Ambiental Específico para Instalación de Faenas Río Ventisquero, Rev. 1</t>
        </is>
      </c>
      <c r="I4" t="inlineStr">
        <is>
          <t>Validar con SEREMI de Salud</t>
        </is>
      </c>
      <c r="J4" t="inlineStr">
        <is>
          <t>Mensual</t>
        </is>
      </c>
      <c r="K4" t="inlineStr">
        <is>
          <t>Resolución vigente</t>
        </is>
      </c>
      <c r="L4" t="inlineStr">
        <is>
          <t>Revisión documental</t>
        </is>
      </c>
      <c r="M4" t="inlineStr">
        <is>
          <t>Autorización disponible y vigente</t>
        </is>
      </c>
      <c r="N4" t="inlineStr"/>
      <c r="O4" t="inlineStr"/>
      <c r="P4" t="inlineStr"/>
      <c r="Q4" t="inlineStr"/>
      <c r="R4" t="inlineStr"/>
      <c r="S4" t="inlineStr"/>
      <c r="T4" s="9" t="inlineStr"/>
      <c r="U4" t="inlineStr"/>
      <c r="V4" t="inlineStr"/>
      <c r="W4" s="9" t="inlineStr"/>
      <c r="X4" s="9" t="inlineStr"/>
      <c r="Y4">
        <f>SI(Y(W4&lt;&gt;"";X4="");HOY()-W4;SI(Y(W4&lt;&gt;"";X4&lt;&gt;"");X4-W4;""))</f>
        <v/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>
        <f>SI(N4="Cumple";Config!$B$9;SI(N4="Cumple parcialmente";Config!$B$10;SI(N4="No cumple";Config!$B$11;SI(N4="En proceso de regularización";Config!$B$12;SI(N4="No aplica";"NA";"PEND")))))</f>
        <v/>
      </c>
      <c r="AI4">
        <f>SI(AH4="NA";"NA";SI(AH4="PEND";"PEND";AH4*100))</f>
        <v/>
      </c>
      <c r="AJ4" t="inlineStr">
        <is>
          <t>Obligación contenida en el Plan de Manejo</t>
        </is>
      </c>
      <c r="AK4" t="inlineStr">
        <is>
          <t>Expreso en el Plan de Manejo</t>
        </is>
      </c>
    </row>
    <row r="5">
      <c r="A5" t="inlineStr">
        <is>
          <t>REQ-004</t>
        </is>
      </c>
      <c r="B5" t="inlineStr">
        <is>
          <t>Autorizaciones y permisos</t>
        </is>
      </c>
      <c r="C5" t="inlineStr">
        <is>
          <t>Bodega RESPEL</t>
        </is>
      </c>
      <c r="D5" t="inlineStr">
        <is>
          <t>Operación</t>
        </is>
      </c>
      <c r="E5" t="inlineStr">
        <is>
          <t>Bodega RESPEL</t>
        </is>
      </c>
      <c r="F5" t="inlineStr">
        <is>
          <t>Autorización bodega de residuos peligrosos</t>
        </is>
      </c>
      <c r="G5" t="inlineStr">
        <is>
          <t>Bodega RESPEL autorizada por autoridad competente</t>
        </is>
      </c>
      <c r="H5" t="inlineStr">
        <is>
          <t>Plan de Manejo Ambiental Específico para Instalación de Faenas Río Ventisquero, Rev. 1</t>
        </is>
      </c>
      <c r="I5" t="inlineStr">
        <is>
          <t>DS 148 / Validar con autoridad competente</t>
        </is>
      </c>
      <c r="J5" t="inlineStr">
        <is>
          <t>Mensual</t>
        </is>
      </c>
      <c r="K5" t="inlineStr">
        <is>
          <t>Autorización vigente en sitio</t>
        </is>
      </c>
      <c r="L5" t="inlineStr">
        <is>
          <t>Inspección y revisión documental</t>
        </is>
      </c>
      <c r="M5" t="inlineStr">
        <is>
          <t>Autorización RESPEL vigente</t>
        </is>
      </c>
      <c r="N5" t="inlineStr"/>
      <c r="O5" t="inlineStr"/>
      <c r="P5" t="inlineStr"/>
      <c r="Q5" t="inlineStr"/>
      <c r="R5" t="inlineStr"/>
      <c r="S5" t="inlineStr"/>
      <c r="T5" s="9" t="inlineStr"/>
      <c r="U5" t="inlineStr"/>
      <c r="V5" t="inlineStr"/>
      <c r="W5" s="9" t="inlineStr"/>
      <c r="X5" s="9" t="inlineStr"/>
      <c r="Y5">
        <f>SI(Y(W5&lt;&gt;"";X5="");HOY()-W5;SI(Y(W5&lt;&gt;"";X5&lt;&gt;"");X5-W5;""))</f>
        <v/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>
        <f>SI(N5="Cumple";Config!$B$9;SI(N5="Cumple parcialmente";Config!$B$10;SI(N5="No cumple";Config!$B$11;SI(N5="En proceso de regularización";Config!$B$12;SI(N5="No aplica";"NA";"PEND")))))</f>
        <v/>
      </c>
      <c r="AI5">
        <f>SI(AH5="NA";"NA";SI(AH5="PEND";"PEND";AH5*100))</f>
        <v/>
      </c>
      <c r="AJ5" t="inlineStr">
        <is>
          <t>Obligación contenida en el Plan de Manejo</t>
        </is>
      </c>
      <c r="AK5" t="inlineStr">
        <is>
          <t>Expreso en el Plan de Manejo</t>
        </is>
      </c>
    </row>
    <row r="6">
      <c r="A6" t="inlineStr">
        <is>
          <t>REQ-005</t>
        </is>
      </c>
      <c r="B6" t="inlineStr">
        <is>
          <t>Autorizaciones y permisos</t>
        </is>
      </c>
      <c r="C6" t="inlineStr">
        <is>
          <t>Residuos no peligrosos</t>
        </is>
      </c>
      <c r="D6" t="inlineStr">
        <is>
          <t>Operación</t>
        </is>
      </c>
      <c r="E6" t="inlineStr">
        <is>
          <t>Patio de salvataje</t>
        </is>
      </c>
      <c r="F6" t="inlineStr">
        <is>
          <t>Autorización bodega/patio residuos no peligrosos</t>
        </is>
      </c>
      <c r="G6" t="inlineStr">
        <is>
          <t>Patio o bodega autorizada para RNP</t>
        </is>
      </c>
      <c r="H6" t="inlineStr">
        <is>
          <t>Plan de Manejo Ambiental Específico para Instalación de Faenas Río Ventisquero, Rev. 1</t>
        </is>
      </c>
      <c r="I6" t="inlineStr">
        <is>
          <t>Validar con normativa vigente o autoridad competente</t>
        </is>
      </c>
      <c r="J6" t="inlineStr">
        <is>
          <t>Mensual</t>
        </is>
      </c>
      <c r="K6" t="inlineStr">
        <is>
          <t>Resolución o antecedente disponible</t>
        </is>
      </c>
      <c r="L6" t="inlineStr">
        <is>
          <t>Revisión documental</t>
        </is>
      </c>
      <c r="M6" t="inlineStr">
        <is>
          <t>Autorización disponible</t>
        </is>
      </c>
      <c r="N6" t="inlineStr"/>
      <c r="O6" t="inlineStr"/>
      <c r="P6" t="inlineStr"/>
      <c r="Q6" t="inlineStr"/>
      <c r="R6" t="inlineStr"/>
      <c r="S6" t="inlineStr"/>
      <c r="T6" s="9" t="inlineStr"/>
      <c r="U6" t="inlineStr"/>
      <c r="V6" t="inlineStr"/>
      <c r="W6" s="9" t="inlineStr"/>
      <c r="X6" s="9" t="inlineStr"/>
      <c r="Y6">
        <f>SI(Y(W6&lt;&gt;"";X6="");HOY()-W6;SI(Y(W6&lt;&gt;"";X6&lt;&gt;"");X6-W6;""))</f>
        <v/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>
        <f>SI(N6="Cumple";Config!$B$9;SI(N6="Cumple parcialmente";Config!$B$10;SI(N6="No cumple";Config!$B$11;SI(N6="En proceso de regularización";Config!$B$12;SI(N6="No aplica";"NA";"PEND")))))</f>
        <v/>
      </c>
      <c r="AI6">
        <f>SI(AH6="NA";"NA";SI(AH6="PEND";"PEND";AH6*100))</f>
        <v/>
      </c>
      <c r="AJ6" t="inlineStr">
        <is>
          <t>Obligación contenida en el Plan de Manejo</t>
        </is>
      </c>
      <c r="AK6" t="inlineStr">
        <is>
          <t>Derivado del Plan de Manejo</t>
        </is>
      </c>
    </row>
    <row r="7">
      <c r="A7" t="inlineStr">
        <is>
          <t>REQ-006</t>
        </is>
      </c>
      <c r="B7" t="inlineStr">
        <is>
          <t>Autorizaciones y permisos</t>
        </is>
      </c>
      <c r="C7" t="inlineStr">
        <is>
          <t>Control de plagas</t>
        </is>
      </c>
      <c r="D7" t="inlineStr">
        <is>
          <t>Operación</t>
        </is>
      </c>
      <c r="E7" t="inlineStr">
        <is>
          <t>Instalación completa</t>
        </is>
      </c>
      <c r="F7" t="inlineStr">
        <is>
          <t>Resolución sanitaria control de plagas</t>
        </is>
      </c>
      <c r="G7" t="inlineStr">
        <is>
          <t>Servicio de control de plagas con resolución sanitaria</t>
        </is>
      </c>
      <c r="H7" t="inlineStr">
        <is>
          <t>Plan de Manejo Ambiental Específico para Instalación de Faenas Río Ventisquero, Rev. 1</t>
        </is>
      </c>
      <c r="I7" t="inlineStr">
        <is>
          <t>Validar con SEREMI de Salud</t>
        </is>
      </c>
      <c r="J7" t="inlineStr">
        <is>
          <t>Mensual</t>
        </is>
      </c>
      <c r="K7" t="inlineStr">
        <is>
          <t>Resolución vigente del prestador</t>
        </is>
      </c>
      <c r="L7" t="inlineStr">
        <is>
          <t>Revisión documental</t>
        </is>
      </c>
      <c r="M7" t="inlineStr">
        <is>
          <t>Resolución sanitaria vigente</t>
        </is>
      </c>
      <c r="N7" t="inlineStr"/>
      <c r="O7" t="inlineStr"/>
      <c r="P7" t="inlineStr"/>
      <c r="Q7" t="inlineStr"/>
      <c r="R7" t="inlineStr"/>
      <c r="S7" t="inlineStr"/>
      <c r="T7" s="9" t="inlineStr"/>
      <c r="U7" t="inlineStr"/>
      <c r="V7" t="inlineStr"/>
      <c r="W7" s="9" t="inlineStr"/>
      <c r="X7" s="9" t="inlineStr"/>
      <c r="Y7">
        <f>SI(Y(W7&lt;&gt;"";X7="");HOY()-W7;SI(Y(W7&lt;&gt;"";X7&lt;&gt;"");X7-W7;""))</f>
        <v/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>
        <f>SI(N7="Cumple";Config!$B$9;SI(N7="Cumple parcialmente";Config!$B$10;SI(N7="No cumple";Config!$B$11;SI(N7="En proceso de regularización";Config!$B$12;SI(N7="No aplica";"NA";"PEND")))))</f>
        <v/>
      </c>
      <c r="AI7">
        <f>SI(AH7="NA";"NA";SI(AH7="PEND";"PEND";AH7*100))</f>
        <v/>
      </c>
      <c r="AJ7" t="inlineStr">
        <is>
          <t>Obligación contenida en el Plan de Manejo</t>
        </is>
      </c>
      <c r="AK7" t="inlineStr">
        <is>
          <t>Expreso en el Plan de Manejo</t>
        </is>
      </c>
    </row>
    <row r="8">
      <c r="A8" t="inlineStr">
        <is>
          <t>REQ-007</t>
        </is>
      </c>
      <c r="B8" t="inlineStr">
        <is>
          <t>Autorizaciones y permisos</t>
        </is>
      </c>
      <c r="C8" t="inlineStr">
        <is>
          <t>Baños y fosas</t>
        </is>
      </c>
      <c r="D8" t="inlineStr">
        <is>
          <t>Operación</t>
        </is>
      </c>
      <c r="E8" t="inlineStr">
        <is>
          <t>Sanitarios</t>
        </is>
      </c>
      <c r="F8" t="inlineStr">
        <is>
          <t>Autorización limpieza baños químicos y fosas sépticas</t>
        </is>
      </c>
      <c r="G8" t="inlineStr">
        <is>
          <t>Empresa autorizada para servicios sanitarios</t>
        </is>
      </c>
      <c r="H8" t="inlineStr">
        <is>
          <t>Plan de Manejo Ambiental Específico para Instalación de Faenas Río Ventisquero, Rev. 1</t>
        </is>
      </c>
      <c r="I8" t="inlineStr">
        <is>
          <t>Validar con SEREMI de Salud</t>
        </is>
      </c>
      <c r="J8" t="inlineStr">
        <is>
          <t>Mensual</t>
        </is>
      </c>
      <c r="K8" t="inlineStr">
        <is>
          <t>Certificado/resolución del prestador</t>
        </is>
      </c>
      <c r="L8" t="inlineStr">
        <is>
          <t>Revisión documental</t>
        </is>
      </c>
      <c r="M8" t="inlineStr">
        <is>
          <t>Autorización sanitaria vigente</t>
        </is>
      </c>
      <c r="N8" t="inlineStr"/>
      <c r="O8" t="inlineStr"/>
      <c r="P8" t="inlineStr"/>
      <c r="Q8" t="inlineStr"/>
      <c r="R8" t="inlineStr"/>
      <c r="S8" t="inlineStr"/>
      <c r="T8" s="9" t="inlineStr"/>
      <c r="U8" t="inlineStr"/>
      <c r="V8" t="inlineStr"/>
      <c r="W8" s="9" t="inlineStr"/>
      <c r="X8" s="9" t="inlineStr"/>
      <c r="Y8">
        <f>SI(Y(W8&lt;&gt;"";X8="");HOY()-W8;SI(Y(W8&lt;&gt;"";X8&lt;&gt;"");X8-W8;""))</f>
        <v/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>
        <f>SI(N8="Cumple";Config!$B$9;SI(N8="Cumple parcialmente";Config!$B$10;SI(N8="No cumple";Config!$B$11;SI(N8="En proceso de regularización";Config!$B$12;SI(N8="No aplica";"NA";"PEND")))))</f>
        <v/>
      </c>
      <c r="AI8">
        <f>SI(AH8="NA";"NA";SI(AH8="PEND";"PEND";AH8*100))</f>
        <v/>
      </c>
      <c r="AJ8" t="inlineStr">
        <is>
          <t>Obligación contenida en el Plan de Manejo</t>
        </is>
      </c>
      <c r="AK8" t="inlineStr">
        <is>
          <t>Expreso en el Plan de Manejo</t>
        </is>
      </c>
    </row>
    <row r="9">
      <c r="A9" t="inlineStr">
        <is>
          <t>REQ-008</t>
        </is>
      </c>
      <c r="B9" t="inlineStr">
        <is>
          <t>Autorizaciones y permisos</t>
        </is>
      </c>
      <c r="C9" t="inlineStr">
        <is>
          <t>Agua envasada</t>
        </is>
      </c>
      <c r="D9" t="inlineStr">
        <is>
          <t>Operación</t>
        </is>
      </c>
      <c r="E9" t="inlineStr">
        <is>
          <t>Comedor/bodega</t>
        </is>
      </c>
      <c r="F9" t="inlineStr">
        <is>
          <t>Autorización proveedor agua envasada</t>
        </is>
      </c>
      <c r="G9" t="inlineStr">
        <is>
          <t>Proveedor con autorización sanitaria</t>
        </is>
      </c>
      <c r="H9" t="inlineStr">
        <is>
          <t>Plan de Manejo Ambiental Específico para Instalación de Faenas Río Ventisquero, Rev. 1</t>
        </is>
      </c>
      <c r="I9" t="inlineStr">
        <is>
          <t>Validar con SEREMI de Salud</t>
        </is>
      </c>
      <c r="J9" t="inlineStr">
        <is>
          <t>Mensual</t>
        </is>
      </c>
      <c r="K9" t="inlineStr">
        <is>
          <t>Certificado vigente</t>
        </is>
      </c>
      <c r="L9" t="inlineStr">
        <is>
          <t>Revisión documental</t>
        </is>
      </c>
      <c r="M9" t="inlineStr">
        <is>
          <t>Autorización disponible</t>
        </is>
      </c>
      <c r="N9" t="inlineStr"/>
      <c r="O9" t="inlineStr"/>
      <c r="P9" t="inlineStr"/>
      <c r="Q9" t="inlineStr"/>
      <c r="R9" t="inlineStr"/>
      <c r="S9" t="inlineStr"/>
      <c r="T9" s="9" t="inlineStr"/>
      <c r="U9" t="inlineStr"/>
      <c r="V9" t="inlineStr"/>
      <c r="W9" s="9" t="inlineStr"/>
      <c r="X9" s="9" t="inlineStr"/>
      <c r="Y9">
        <f>SI(Y(W9&lt;&gt;"";X9="");HOY()-W9;SI(Y(W9&lt;&gt;"";X9&lt;&gt;"");X9-W9;""))</f>
        <v/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>
        <f>SI(N9="Cumple";Config!$B$9;SI(N9="Cumple parcialmente";Config!$B$10;SI(N9="No cumple";Config!$B$11;SI(N9="En proceso de regularización";Config!$B$12;SI(N9="No aplica";"NA";"PEND")))))</f>
        <v/>
      </c>
      <c r="AI9">
        <f>SI(AH9="NA";"NA";SI(AH9="PEND";"PEND";AH9*100))</f>
        <v/>
      </c>
      <c r="AJ9" t="inlineStr">
        <is>
          <t>Obligación contenida en el Plan de Manejo</t>
        </is>
      </c>
      <c r="AK9" t="inlineStr">
        <is>
          <t>Derivado del Plan de Manejo</t>
        </is>
      </c>
    </row>
    <row r="10">
      <c r="A10" t="inlineStr">
        <is>
          <t>REQ-009</t>
        </is>
      </c>
      <c r="B10" t="inlineStr">
        <is>
          <t>Autorizaciones y permisos</t>
        </is>
      </c>
      <c r="C10" t="inlineStr">
        <is>
          <t>Alimentación</t>
        </is>
      </c>
      <c r="D10" t="inlineStr">
        <is>
          <t>Operación</t>
        </is>
      </c>
      <c r="E10" t="inlineStr">
        <is>
          <t>Comedor</t>
        </is>
      </c>
      <c r="F10" t="inlineStr">
        <is>
          <t>Autorización servicio de alimentación</t>
        </is>
      </c>
      <c r="G10" t="inlineStr">
        <is>
          <t>Servicio de alimentación autorizado</t>
        </is>
      </c>
      <c r="H10" t="inlineStr">
        <is>
          <t>Plan de Manejo Ambiental Específico para Instalación de Faenas Río Ventisquero, Rev. 1</t>
        </is>
      </c>
      <c r="I10" t="inlineStr">
        <is>
          <t>Validar con SEREMI de Salud</t>
        </is>
      </c>
      <c r="J10" t="inlineStr">
        <is>
          <t>Mensual</t>
        </is>
      </c>
      <c r="K10" t="inlineStr">
        <is>
          <t>Resolución sanitaria vigente</t>
        </is>
      </c>
      <c r="L10" t="inlineStr">
        <is>
          <t>Revisión documental</t>
        </is>
      </c>
      <c r="M10" t="inlineStr">
        <is>
          <t>Autorización vigente</t>
        </is>
      </c>
      <c r="N10" t="inlineStr"/>
      <c r="O10" t="inlineStr"/>
      <c r="P10" t="inlineStr"/>
      <c r="Q10" t="inlineStr"/>
      <c r="R10" t="inlineStr"/>
      <c r="S10" t="inlineStr"/>
      <c r="T10" s="9" t="inlineStr"/>
      <c r="U10" t="inlineStr"/>
      <c r="V10" t="inlineStr"/>
      <c r="W10" s="9" t="inlineStr"/>
      <c r="X10" s="9" t="inlineStr"/>
      <c r="Y10">
        <f>SI(Y(W10&lt;&gt;"";X10="");HOY()-W10;SI(Y(W10&lt;&gt;"";X10&lt;&gt;"");X10-W10;""))</f>
        <v/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>
        <f>SI(N10="Cumple";Config!$B$9;SI(N10="Cumple parcialmente";Config!$B$10;SI(N10="No cumple";Config!$B$11;SI(N10="En proceso de regularización";Config!$B$12;SI(N10="No aplica";"NA";"PEND")))))</f>
        <v/>
      </c>
      <c r="AI10">
        <f>SI(AH10="NA";"NA";SI(AH10="PEND";"PEND";AH10*100))</f>
        <v/>
      </c>
      <c r="AJ10" t="inlineStr">
        <is>
          <t>Obligación contenida en el Plan de Manejo</t>
        </is>
      </c>
      <c r="AK10" t="inlineStr">
        <is>
          <t>Derivado del Plan de Manejo</t>
        </is>
      </c>
    </row>
    <row r="11">
      <c r="A11" t="inlineStr">
        <is>
          <t>REQ-010</t>
        </is>
      </c>
      <c r="B11" t="inlineStr">
        <is>
          <t>Autorizaciones y permisos</t>
        </is>
      </c>
      <c r="C11" t="inlineStr">
        <is>
          <t>Laboratorio</t>
        </is>
      </c>
      <c r="D11" t="inlineStr">
        <is>
          <t>Operación</t>
        </is>
      </c>
      <c r="E11" t="inlineStr">
        <is>
          <t>Laboratorio</t>
        </is>
      </c>
      <c r="F11" t="inlineStr">
        <is>
          <t>Autorización o antecedentes del laboratorio</t>
        </is>
      </c>
      <c r="G11" t="inlineStr">
        <is>
          <t>Laboratorio con respaldo documental</t>
        </is>
      </c>
      <c r="H11" t="inlineStr">
        <is>
          <t>Plan de Manejo Ambiental Específico para Instalación de Faenas Río Ventisquero, Rev. 1</t>
        </is>
      </c>
      <c r="I11" t="inlineStr">
        <is>
          <t>Validar con normativa vigente o autoridad competente</t>
        </is>
      </c>
      <c r="J11" t="inlineStr">
        <is>
          <t>Mensual</t>
        </is>
      </c>
      <c r="K11" t="inlineStr">
        <is>
          <t>Antecedentes disponibles</t>
        </is>
      </c>
      <c r="L11" t="inlineStr">
        <is>
          <t>Revisión documental</t>
        </is>
      </c>
      <c r="M11" t="inlineStr">
        <is>
          <t>Documentación disponible</t>
        </is>
      </c>
      <c r="N11" t="inlineStr"/>
      <c r="O11" t="inlineStr"/>
      <c r="P11" t="inlineStr"/>
      <c r="Q11" t="inlineStr"/>
      <c r="R11" t="inlineStr"/>
      <c r="S11" t="inlineStr"/>
      <c r="T11" s="9" t="inlineStr"/>
      <c r="U11" t="inlineStr"/>
      <c r="V11" t="inlineStr"/>
      <c r="W11" s="9" t="inlineStr"/>
      <c r="X11" s="9" t="inlineStr"/>
      <c r="Y11">
        <f>SI(Y(W11&lt;&gt;"";X11="");HOY()-W11;SI(Y(W11&lt;&gt;"";X11&lt;&gt;"");X11-W11;""))</f>
        <v/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>
        <f>SI(N11="Cumple";Config!$B$9;SI(N11="Cumple parcialmente";Config!$B$10;SI(N11="No cumple";Config!$B$11;SI(N11="En proceso de regularización";Config!$B$12;SI(N11="No aplica";"NA";"PEND")))))</f>
        <v/>
      </c>
      <c r="AI11">
        <f>SI(AH11="NA";"NA";SI(AH11="PEND";"PEND";AH11*100))</f>
        <v/>
      </c>
      <c r="AJ11" t="inlineStr">
        <is>
          <t>Antecedente documental pendiente</t>
        </is>
      </c>
      <c r="AK11" t="inlineStr">
        <is>
          <t>Requiere validación</t>
        </is>
      </c>
    </row>
    <row r="12">
      <c r="A12" t="inlineStr">
        <is>
          <t>REQ-011</t>
        </is>
      </c>
      <c r="B12" t="inlineStr">
        <is>
          <t>Autorizaciones y permisos</t>
        </is>
      </c>
      <c r="C12" t="inlineStr">
        <is>
          <t>Equipos radiactivos</t>
        </is>
      </c>
      <c r="D12" t="inlineStr">
        <is>
          <t>Operación</t>
        </is>
      </c>
      <c r="E12" t="inlineStr">
        <is>
          <t>Bunker/laboratorio</t>
        </is>
      </c>
      <c r="F12" t="inlineStr">
        <is>
          <t>Autorización bunker o almacenamiento equipos radiactivos</t>
        </is>
      </c>
      <c r="G12" t="inlineStr">
        <is>
          <t>Si aplica, contar con autorización CCHEN</t>
        </is>
      </c>
      <c r="H12" t="inlineStr">
        <is>
          <t>Plan de Manejo Ambiental Específico para Instalación de Faenas Río Ventisquero, Rev. 1</t>
        </is>
      </c>
      <c r="I12" t="inlineStr">
        <is>
          <t>Validar con CCHEN si aplica</t>
        </is>
      </c>
      <c r="J12" t="inlineStr">
        <is>
          <t>Mensual</t>
        </is>
      </c>
      <c r="K12" t="inlineStr">
        <is>
          <t>Autorización o declaración de no aplicabilidad</t>
        </is>
      </c>
      <c r="L12" t="inlineStr">
        <is>
          <t>Revisión documental</t>
        </is>
      </c>
      <c r="M12" t="inlineStr">
        <is>
          <t>Cumplimiento o N/A documentado</t>
        </is>
      </c>
      <c r="N12" t="inlineStr"/>
      <c r="O12" t="inlineStr"/>
      <c r="P12" t="inlineStr"/>
      <c r="Q12" t="inlineStr"/>
      <c r="R12" t="inlineStr"/>
      <c r="S12" t="inlineStr"/>
      <c r="T12" s="9" t="inlineStr"/>
      <c r="U12" t="inlineStr"/>
      <c r="V12" t="inlineStr"/>
      <c r="W12" s="9" t="inlineStr"/>
      <c r="X12" s="9" t="inlineStr"/>
      <c r="Y12">
        <f>SI(Y(W12&lt;&gt;"";X12="");HOY()-W12;SI(Y(W12&lt;&gt;"";X12&lt;&gt;"");X12-W12;""))</f>
        <v/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>
        <f>SI(N12="Cumple";Config!$B$9;SI(N12="Cumple parcialmente";Config!$B$10;SI(N12="No cumple";Config!$B$11;SI(N12="En proceso de regularización";Config!$B$12;SI(N12="No aplica";"NA";"PEND")))))</f>
        <v/>
      </c>
      <c r="AI12">
        <f>SI(AH12="NA";"NA";SI(AH12="PEND";"PEND";AH12*100))</f>
        <v/>
      </c>
      <c r="AJ12" t="inlineStr">
        <is>
          <t>Antecedente documental pendiente</t>
        </is>
      </c>
      <c r="AK12" t="inlineStr">
        <is>
          <t>Requiere validación</t>
        </is>
      </c>
    </row>
    <row r="13">
      <c r="A13" t="inlineStr">
        <is>
          <t>REQ-012</t>
        </is>
      </c>
      <c r="B13" t="inlineStr">
        <is>
          <t>Autorizaciones y permisos</t>
        </is>
      </c>
      <c r="C13" t="inlineStr">
        <is>
          <t>Grupo generador</t>
        </is>
      </c>
      <c r="D13" t="inlineStr">
        <is>
          <t>Operación</t>
        </is>
      </c>
      <c r="E13" t="inlineStr">
        <is>
          <t>Planta eléctrica</t>
        </is>
      </c>
      <c r="F13" t="inlineStr">
        <is>
          <t>Certificados y antecedentes del grupo generador</t>
        </is>
      </c>
      <c r="G13" t="inlineStr">
        <is>
          <t>Documentación técnica y operacional del generador</t>
        </is>
      </c>
      <c r="H13" t="inlineStr">
        <is>
          <t>Plan de Manejo Ambiental Específico para Instalación de Faenas Río Ventisquero, Rev. 1</t>
        </is>
      </c>
      <c r="I13" t="inlineStr">
        <is>
          <t>Validar con normativa vigente o autoridad competente</t>
        </is>
      </c>
      <c r="J13" t="inlineStr">
        <is>
          <t>Mensual</t>
        </is>
      </c>
      <c r="K13" t="inlineStr">
        <is>
          <t>Certificados disponibles</t>
        </is>
      </c>
      <c r="L13" t="inlineStr">
        <is>
          <t>Revisión documental e inspección</t>
        </is>
      </c>
      <c r="M13" t="inlineStr">
        <is>
          <t>Antecedentes completos</t>
        </is>
      </c>
      <c r="N13" t="inlineStr"/>
      <c r="O13" t="inlineStr"/>
      <c r="P13" t="inlineStr"/>
      <c r="Q13" t="inlineStr"/>
      <c r="R13" t="inlineStr"/>
      <c r="S13" t="inlineStr"/>
      <c r="T13" s="9" t="inlineStr"/>
      <c r="U13" t="inlineStr"/>
      <c r="V13" t="inlineStr"/>
      <c r="W13" s="9" t="inlineStr"/>
      <c r="X13" s="9" t="inlineStr"/>
      <c r="Y13">
        <f>SI(Y(W13&lt;&gt;"";X13="");HOY()-W13;SI(Y(W13&lt;&gt;"";X13&lt;&gt;"");X13-W13;""))</f>
        <v/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>
        <f>SI(N13="Cumple";Config!$B$9;SI(N13="Cumple parcialmente";Config!$B$10;SI(N13="No cumple";Config!$B$11;SI(N13="En proceso de regularización";Config!$B$12;SI(N13="No aplica";"NA";"PEND")))))</f>
        <v/>
      </c>
      <c r="AI13">
        <f>SI(AH13="NA";"NA";SI(AH13="PEND";"PEND";AH13*100))</f>
        <v/>
      </c>
      <c r="AJ13" t="inlineStr">
        <is>
          <t>Obligación contenida en el Plan de Manejo</t>
        </is>
      </c>
      <c r="AK13" t="inlineStr">
        <is>
          <t>Derivado del Plan de Manejo</t>
        </is>
      </c>
    </row>
    <row r="14">
      <c r="A14" t="inlineStr">
        <is>
          <t>REQ-013</t>
        </is>
      </c>
      <c r="B14" t="inlineStr">
        <is>
          <t>Declaración anual de emisiones</t>
        </is>
      </c>
      <c r="C14" t="inlineStr">
        <is>
          <t>RETC</t>
        </is>
      </c>
      <c r="D14" t="inlineStr">
        <is>
          <t>Operación</t>
        </is>
      </c>
      <c r="E14" t="inlineStr">
        <is>
          <t>Oficina ambiental</t>
        </is>
      </c>
      <c r="F14" t="inlineStr">
        <is>
          <t>Declaración emisiones atmosféricas RETC</t>
        </is>
      </c>
      <c r="G14" t="inlineStr">
        <is>
          <t>Declarar emisiones cuando corresponda (ene-abr 2027)</t>
        </is>
      </c>
      <c r="H14" t="inlineStr">
        <is>
          <t>Plan de Manejo Ambiental Específico para Instalación de Faenas Río Ventisquero, Rev. 1</t>
        </is>
      </c>
      <c r="I14" t="inlineStr">
        <is>
          <t>Ley 19.300 / RETC MMA</t>
        </is>
      </c>
      <c r="J14" t="inlineStr">
        <is>
          <t>Anual</t>
        </is>
      </c>
      <c r="K14" t="inlineStr">
        <is>
          <t>Declaración presentada en plazo</t>
        </is>
      </c>
      <c r="L14" t="inlineStr">
        <is>
          <t>Revisión RETC</t>
        </is>
      </c>
      <c r="M14" t="inlineStr">
        <is>
          <t>Declaración presentada o planificado</t>
        </is>
      </c>
      <c r="N14" t="inlineStr"/>
      <c r="O14" t="inlineStr"/>
      <c r="P14" t="inlineStr"/>
      <c r="Q14" t="inlineStr"/>
      <c r="R14" t="inlineStr"/>
      <c r="S14" t="inlineStr"/>
      <c r="T14" s="9" t="inlineStr"/>
      <c r="U14" t="inlineStr"/>
      <c r="V14" t="inlineStr"/>
      <c r="W14" s="9" t="inlineStr"/>
      <c r="X14" s="9" t="inlineStr"/>
      <c r="Y14">
        <f>SI(Y(W14&lt;&gt;"";X14="");HOY()-W14;SI(Y(W14&lt;&gt;"";X14&lt;&gt;"");X14-W14;""))</f>
        <v/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>
        <f>SI(N14="Cumple";Config!$B$9;SI(N14="Cumple parcialmente";Config!$B$10;SI(N14="No cumple";Config!$B$11;SI(N14="En proceso de regularización";Config!$B$12;SI(N14="No aplica";"NA";"PEND")))))</f>
        <v/>
      </c>
      <c r="AI14">
        <f>SI(AH14="NA";"NA";SI(AH14="PEND";"PEND";AH14*100))</f>
        <v/>
      </c>
      <c r="AJ14" t="inlineStr">
        <is>
          <t>Exigencia legal o reglamentaria</t>
        </is>
      </c>
      <c r="AK14" t="inlineStr">
        <is>
          <t>Norma o permiso aplicable</t>
        </is>
      </c>
    </row>
    <row r="15">
      <c r="A15" t="inlineStr">
        <is>
          <t>REQ-014</t>
        </is>
      </c>
      <c r="B15" t="inlineStr">
        <is>
          <t>Autorizaciones y permisos</t>
        </is>
      </c>
      <c r="C15" t="inlineStr">
        <is>
          <t>Combustibles</t>
        </is>
      </c>
      <c r="D15" t="inlineStr">
        <is>
          <t>Operación</t>
        </is>
      </c>
      <c r="E15" t="inlineStr">
        <is>
          <t>Estanque combustible</t>
        </is>
      </c>
      <c r="F15" t="inlineStr">
        <is>
          <t>Autorización transporte de combustibles</t>
        </is>
      </c>
      <c r="G15" t="inlineStr">
        <is>
          <t>Transportista y operación con respaldo legal</t>
        </is>
      </c>
      <c r="H15" t="inlineStr">
        <is>
          <t>Plan de Manejo Ambiental Específico para Instalación de Faenas Río Ventisquero, Rev. 1</t>
        </is>
      </c>
      <c r="I15" t="inlineStr">
        <is>
          <t>Validar con normativa vigente o autoridad competente</t>
        </is>
      </c>
      <c r="J15" t="inlineStr">
        <is>
          <t>Mensual</t>
        </is>
      </c>
      <c r="K15" t="inlineStr">
        <is>
          <t>Autorizaciones del transportista</t>
        </is>
      </c>
      <c r="L15" t="inlineStr">
        <is>
          <t>Revisión documental</t>
        </is>
      </c>
      <c r="M15" t="inlineStr">
        <is>
          <t>Documentos vigentes</t>
        </is>
      </c>
      <c r="N15" t="inlineStr"/>
      <c r="O15" t="inlineStr"/>
      <c r="P15" t="inlineStr"/>
      <c r="Q15" t="inlineStr"/>
      <c r="R15" t="inlineStr"/>
      <c r="S15" t="inlineStr"/>
      <c r="T15" s="9" t="inlineStr"/>
      <c r="U15" t="inlineStr"/>
      <c r="V15" t="inlineStr"/>
      <c r="W15" s="9" t="inlineStr"/>
      <c r="X15" s="9" t="inlineStr"/>
      <c r="Y15">
        <f>SI(Y(W15&lt;&gt;"";X15="");HOY()-W15;SI(Y(W15&lt;&gt;"";X15&lt;&gt;"");X15-W15;""))</f>
        <v/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>
        <f>SI(N15="Cumple";Config!$B$9;SI(N15="Cumple parcialmente";Config!$B$10;SI(N15="No cumple";Config!$B$11;SI(N15="En proceso de regularización";Config!$B$12;SI(N15="No aplica";"NA";"PEND")))))</f>
        <v/>
      </c>
      <c r="AI15">
        <f>SI(AH15="NA";"NA";SI(AH15="PEND";"PEND";AH15*100))</f>
        <v/>
      </c>
      <c r="AJ15" t="inlineStr">
        <is>
          <t>Obligación contenida en el Plan de Manejo</t>
        </is>
      </c>
      <c r="AK15" t="inlineStr">
        <is>
          <t>Derivado del Plan de Manejo</t>
        </is>
      </c>
    </row>
    <row r="16">
      <c r="A16" t="inlineStr">
        <is>
          <t>REQ-015</t>
        </is>
      </c>
      <c r="B16" t="inlineStr">
        <is>
          <t>Control documental</t>
        </is>
      </c>
      <c r="C16" t="inlineStr">
        <is>
          <t>Libro de Comunicaciones</t>
        </is>
      </c>
      <c r="D16" t="inlineStr">
        <is>
          <t>Operación</t>
        </is>
      </c>
      <c r="E16" t="inlineStr">
        <is>
          <t>Oficina de obra</t>
        </is>
      </c>
      <c r="F16" t="inlineStr">
        <is>
          <t>Registro entrega documental al mandante</t>
        </is>
      </c>
      <c r="G16" t="inlineStr">
        <is>
          <t>Comunicaciones al mandante vía Libro de Comunicaciones</t>
        </is>
      </c>
      <c r="H16" t="inlineStr">
        <is>
          <t>Plan de Manejo Ambiental Específico para Instalación de Faenas Río Ventisquero, Rev. 1</t>
        </is>
      </c>
      <c r="I16" t="inlineStr">
        <is>
          <t>Bases contractuales</t>
        </is>
      </c>
      <c r="J16" t="inlineStr">
        <is>
          <t>Mensual</t>
        </is>
      </c>
      <c r="K16" t="inlineStr">
        <is>
          <t>Folio registrado</t>
        </is>
      </c>
      <c r="L16" t="inlineStr">
        <is>
          <t>Revisión Libro de Comunicaciones</t>
        </is>
      </c>
      <c r="M16" t="inlineStr">
        <is>
          <t>Comunicaciones registradas</t>
        </is>
      </c>
      <c r="N16" t="inlineStr"/>
      <c r="O16" t="inlineStr"/>
      <c r="P16" t="inlineStr"/>
      <c r="Q16" t="inlineStr"/>
      <c r="R16" t="inlineStr"/>
      <c r="S16" t="inlineStr"/>
      <c r="T16" s="9" t="inlineStr"/>
      <c r="U16" t="inlineStr"/>
      <c r="V16" t="inlineStr"/>
      <c r="W16" s="9" t="inlineStr"/>
      <c r="X16" s="9" t="inlineStr"/>
      <c r="Y16">
        <f>SI(Y(W16&lt;&gt;"";X16="");HOY()-W16;SI(Y(W16&lt;&gt;"";X16&lt;&gt;"");X16-W16;""))</f>
        <v/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>
        <f>SI(N16="Cumple";Config!$B$9;SI(N16="Cumple parcialmente";Config!$B$10;SI(N16="No cumple";Config!$B$11;SI(N16="En proceso de regularización";Config!$B$12;SI(N16="No aplica";"NA";"PEND")))))</f>
        <v/>
      </c>
      <c r="AI16">
        <f>SI(AH16="NA";"NA";SI(AH16="PEND";"PEND";AH16*100))</f>
        <v/>
      </c>
      <c r="AJ16" t="inlineStr">
        <is>
          <t>Compromiso contractual</t>
        </is>
      </c>
      <c r="AK16" t="inlineStr">
        <is>
          <t>Derivado del Plan de Manejo</t>
        </is>
      </c>
    </row>
    <row r="17">
      <c r="A17" t="inlineStr">
        <is>
          <t>REQ-016</t>
        </is>
      </c>
      <c r="B17" t="inlineStr">
        <is>
          <t>Emisiones atmosféricas</t>
        </is>
      </c>
      <c r="C17" t="inlineStr">
        <is>
          <t>Vehículos</t>
        </is>
      </c>
      <c r="D17" t="inlineStr">
        <is>
          <t>Operación</t>
        </is>
      </c>
      <c r="E17" t="inlineStr">
        <is>
          <t>Accesos y vías internas</t>
        </is>
      </c>
      <c r="F17" t="inlineStr">
        <is>
          <t>Estado técnico de camionetas, camiones y maquinaria</t>
        </is>
      </c>
      <c r="G17" t="inlineStr">
        <is>
          <t>Equipos con revisión técnica y permisos vigentes</t>
        </is>
      </c>
      <c r="H17" t="inlineStr">
        <is>
          <t>Plan de Manejo Ambiental Específico para Instalación de Faenas Río Ventisquero, Rev. 1</t>
        </is>
      </c>
      <c r="I17" t="inlineStr">
        <is>
          <t>Validar normativa vehicular vigente</t>
        </is>
      </c>
      <c r="J17" t="inlineStr">
        <is>
          <t>Mensual</t>
        </is>
      </c>
      <c r="K17" t="inlineStr">
        <is>
          <t>Permisos y revisión al día</t>
        </is>
      </c>
      <c r="L17" t="inlineStr">
        <is>
          <t>Inspección visual y revisión documental</t>
        </is>
      </c>
      <c r="M17" t="inlineStr">
        <is>
          <t>Sin emisiones visibles anómalas</t>
        </is>
      </c>
      <c r="N17" t="inlineStr"/>
      <c r="O17" t="inlineStr"/>
      <c r="P17" t="inlineStr"/>
      <c r="Q17" t="inlineStr"/>
      <c r="R17" t="inlineStr"/>
      <c r="S17" t="inlineStr"/>
      <c r="T17" s="9" t="inlineStr"/>
      <c r="U17" t="inlineStr"/>
      <c r="V17" t="inlineStr"/>
      <c r="W17" s="9" t="inlineStr"/>
      <c r="X17" s="9" t="inlineStr"/>
      <c r="Y17">
        <f>SI(Y(W17&lt;&gt;"";X17="");HOY()-W17;SI(Y(W17&lt;&gt;"";X17&lt;&gt;"");X17-W17;""))</f>
        <v/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>
        <f>SI(N17="Cumple";Config!$B$9;SI(N17="Cumple parcialmente";Config!$B$10;SI(N17="No cumple";Config!$B$11;SI(N17="En proceso de regularización";Config!$B$12;SI(N17="No aplica";"NA";"PEND")))))</f>
        <v/>
      </c>
      <c r="AI17">
        <f>SI(AH17="NA";"NA";SI(AH17="PEND";"PEND";AH17*100))</f>
        <v/>
      </c>
      <c r="AJ17" t="inlineStr">
        <is>
          <t>Obligación contenida en el Plan de Manejo</t>
        </is>
      </c>
      <c r="AK17" t="inlineStr">
        <is>
          <t>Expreso en el Plan de Manejo</t>
        </is>
      </c>
    </row>
    <row r="18">
      <c r="A18" t="inlineStr">
        <is>
          <t>REQ-017</t>
        </is>
      </c>
      <c r="B18" t="inlineStr">
        <is>
          <t>Emisiones atmosféricas</t>
        </is>
      </c>
      <c r="C18" t="inlineStr">
        <is>
          <t>Control operacional</t>
        </is>
      </c>
      <c r="D18" t="inlineStr">
        <is>
          <t>Operación</t>
        </is>
      </c>
      <c r="E18" t="inlineStr">
        <is>
          <t>Instalación completa</t>
        </is>
      </c>
      <c r="F18" t="inlineStr">
        <is>
          <t>Control de emisiones visibles</t>
        </is>
      </c>
      <c r="G18" t="inlineStr">
        <is>
          <t>Ausencia de humo visible anormal en equipos</t>
        </is>
      </c>
      <c r="H18" t="inlineStr">
        <is>
          <t>Plan de Manejo Ambiental Específico para Instalación de Faenas Río Ventisquero, Rev. 1</t>
        </is>
      </c>
      <c r="I18" t="inlineStr">
        <is>
          <t>Plan de Manejo Ambiental Específico para Instalación de Faenas Río Ventisquero, Rev. 1</t>
        </is>
      </c>
      <c r="J18" t="inlineStr">
        <is>
          <t>Semanal</t>
        </is>
      </c>
      <c r="K18" t="inlineStr">
        <is>
          <t>Sin humo negro persistente</t>
        </is>
      </c>
      <c r="L18" t="inlineStr">
        <is>
          <t>Inspección visual</t>
        </is>
      </c>
      <c r="M18" t="inlineStr">
        <is>
          <t>Emisiones controladas</t>
        </is>
      </c>
      <c r="N18" t="inlineStr"/>
      <c r="O18" t="inlineStr"/>
      <c r="P18" t="inlineStr"/>
      <c r="Q18" t="inlineStr"/>
      <c r="R18" t="inlineStr"/>
      <c r="S18" t="inlineStr"/>
      <c r="T18" s="9" t="inlineStr"/>
      <c r="U18" t="inlineStr"/>
      <c r="V18" t="inlineStr"/>
      <c r="W18" s="9" t="inlineStr"/>
      <c r="X18" s="9" t="inlineStr"/>
      <c r="Y18">
        <f>SI(Y(W18&lt;&gt;"";X18="");HOY()-W18;SI(Y(W18&lt;&gt;"";X18&lt;&gt;"");X18-W18;""))</f>
        <v/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>
        <f>SI(N18="Cumple";Config!$B$9;SI(N18="Cumple parcialmente";Config!$B$10;SI(N18="No cumple";Config!$B$11;SI(N18="En proceso de regularización";Config!$B$12;SI(N18="No aplica";"NA";"PEND")))))</f>
        <v/>
      </c>
      <c r="AI18">
        <f>SI(AH18="NA";"NA";SI(AH18="PEND";"PEND";AH18*100))</f>
        <v/>
      </c>
      <c r="AJ18" t="inlineStr">
        <is>
          <t>Obligación contenida en el Plan de Manejo</t>
        </is>
      </c>
      <c r="AK18" t="inlineStr">
        <is>
          <t>Expreso en el Plan de Manejo</t>
        </is>
      </c>
    </row>
    <row r="19">
      <c r="A19" t="inlineStr">
        <is>
          <t>REQ-018</t>
        </is>
      </c>
      <c r="B19" t="inlineStr">
        <is>
          <t>Polvo y material particulado</t>
        </is>
      </c>
      <c r="C19" t="inlineStr">
        <is>
          <t>Control de polvo</t>
        </is>
      </c>
      <c r="D19" t="inlineStr">
        <is>
          <t>Operación</t>
        </is>
      </c>
      <c r="E19" t="inlineStr">
        <is>
          <t>Accesos y caminos</t>
        </is>
      </c>
      <c r="F19" t="inlineStr">
        <is>
          <t>Control de polvo en accesos y caminos</t>
        </is>
      </c>
      <c r="G19" t="inlineStr">
        <is>
          <t>Riego con camión aljibe cuando corresponda</t>
        </is>
      </c>
      <c r="H19" t="inlineStr">
        <is>
          <t>Plan de Manejo Ambiental Específico para Instalación de Faenas Río Ventisquero, Rev. 1</t>
        </is>
      </c>
      <c r="I19" t="inlineStr">
        <is>
          <t>Plan de Manejo Ambiental Específico para Instalación de Faenas Río Ventisquero, Rev. 1</t>
        </is>
      </c>
      <c r="J19" t="inlineStr">
        <is>
          <t>Diaria</t>
        </is>
      </c>
      <c r="K19" t="inlineStr">
        <is>
          <t>Polvo controlado en vías transitadas</t>
        </is>
      </c>
      <c r="L19" t="inlineStr">
        <is>
          <t>Inspección visual</t>
        </is>
      </c>
      <c r="M19" t="inlineStr">
        <is>
          <t>Polvo mitigado</t>
        </is>
      </c>
      <c r="N19" t="inlineStr"/>
      <c r="O19" t="inlineStr"/>
      <c r="P19" t="inlineStr"/>
      <c r="Q19" t="inlineStr"/>
      <c r="R19" t="inlineStr"/>
      <c r="S19" t="inlineStr"/>
      <c r="T19" s="9" t="inlineStr"/>
      <c r="U19" t="inlineStr"/>
      <c r="V19" t="inlineStr"/>
      <c r="W19" s="9" t="inlineStr"/>
      <c r="X19" s="9" t="inlineStr"/>
      <c r="Y19">
        <f>SI(Y(W19&lt;&gt;"";X19="");HOY()-W19;SI(Y(W19&lt;&gt;"";X19&lt;&gt;"");X19-W19;""))</f>
        <v/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>
        <f>SI(N19="Cumple";Config!$B$9;SI(N19="Cumple parcialmente";Config!$B$10;SI(N19="No cumple";Config!$B$11;SI(N19="En proceso de regularización";Config!$B$12;SI(N19="No aplica";"NA";"PEND")))))</f>
        <v/>
      </c>
      <c r="AI19">
        <f>SI(AH19="NA";"NA";SI(AH19="PEND";"PEND";AH19*100))</f>
        <v/>
      </c>
      <c r="AJ19" t="inlineStr">
        <is>
          <t>Obligación contenida en el Plan de Manejo</t>
        </is>
      </c>
      <c r="AK19" t="inlineStr">
        <is>
          <t>Expreso en el Plan de Manejo</t>
        </is>
      </c>
    </row>
    <row r="20">
      <c r="A20" t="inlineStr">
        <is>
          <t>REQ-019</t>
        </is>
      </c>
      <c r="B20" t="inlineStr">
        <is>
          <t>Polvo y material particulado</t>
        </is>
      </c>
      <c r="C20" t="inlineStr">
        <is>
          <t>Transporte</t>
        </is>
      </c>
      <c r="D20" t="inlineStr">
        <is>
          <t>Operación</t>
        </is>
      </c>
      <c r="E20" t="inlineStr">
        <is>
          <t>Acceso Ruta 7</t>
        </is>
      </c>
      <c r="F20" t="inlineStr">
        <is>
          <t>Uso de mallas o lonas en camiones</t>
        </is>
      </c>
      <c r="G20" t="inlineStr">
        <is>
          <t>Carga cubierta en transporte de material</t>
        </is>
      </c>
      <c r="H20" t="inlineStr">
        <is>
          <t>Plan de Manejo Ambiental Específico para Instalación de Faenas Río Ventisquero, Rev. 1</t>
        </is>
      </c>
      <c r="I20" t="inlineStr">
        <is>
          <t>Plan de Manejo Ambiental Específico para Instalación de Faenas Río Ventisquero, Rev. 1</t>
        </is>
      </c>
      <c r="J20" t="inlineStr">
        <is>
          <t>Semanal</t>
        </is>
      </c>
      <c r="K20" t="inlineStr">
        <is>
          <t>Cargas cubiertas</t>
        </is>
      </c>
      <c r="L20" t="inlineStr">
        <is>
          <t>Inspección visual</t>
        </is>
      </c>
      <c r="M20" t="inlineStr">
        <is>
          <t>Sin material suelto en tránsito</t>
        </is>
      </c>
      <c r="N20" t="inlineStr"/>
      <c r="O20" t="inlineStr"/>
      <c r="P20" t="inlineStr"/>
      <c r="Q20" t="inlineStr"/>
      <c r="R20" t="inlineStr"/>
      <c r="S20" t="inlineStr"/>
      <c r="T20" s="9" t="inlineStr"/>
      <c r="U20" t="inlineStr"/>
      <c r="V20" t="inlineStr"/>
      <c r="W20" s="9" t="inlineStr"/>
      <c r="X20" s="9" t="inlineStr"/>
      <c r="Y20">
        <f>SI(Y(W20&lt;&gt;"";X20="");HOY()-W20;SI(Y(W20&lt;&gt;"";X20&lt;&gt;"");X20-W20;""))</f>
        <v/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>
        <f>SI(N20="Cumple";Config!$B$9;SI(N20="Cumple parcialmente";Config!$B$10;SI(N20="No cumple";Config!$B$11;SI(N20="En proceso de regularización";Config!$B$12;SI(N20="No aplica";"NA";"PEND")))))</f>
        <v/>
      </c>
      <c r="AI20">
        <f>SI(AH20="NA";"NA";SI(AH20="PEND";"PEND";AH20*100))</f>
        <v/>
      </c>
      <c r="AJ20" t="inlineStr">
        <is>
          <t>Obligación contenida en el Plan de Manejo</t>
        </is>
      </c>
      <c r="AK20" t="inlineStr">
        <is>
          <t>Expreso en el Plan de Manejo</t>
        </is>
      </c>
    </row>
    <row r="21">
      <c r="A21" t="inlineStr">
        <is>
          <t>REQ-020</t>
        </is>
      </c>
      <c r="B21" t="inlineStr">
        <is>
          <t>Velocidad máxima</t>
        </is>
      </c>
      <c r="C21" t="inlineStr">
        <is>
          <t>Control vehicular</t>
        </is>
      </c>
      <c r="D21" t="inlineStr">
        <is>
          <t>Operación</t>
        </is>
      </c>
      <c r="E21" t="inlineStr">
        <is>
          <t>Vías internas y acceso</t>
        </is>
      </c>
      <c r="F21" t="inlineStr">
        <is>
          <t>Cumplimiento límite de velocidad</t>
        </is>
      </c>
      <c r="G21" t="inlineStr">
        <is>
          <t>Respeto de velocidad máxima señalizada</t>
        </is>
      </c>
      <c r="H21" t="inlineStr">
        <is>
          <t>Plan de Manejo Ambiental Específico para Instalación de Faenas Río Ventisquero, Rev. 1</t>
        </is>
      </c>
      <c r="I21" t="inlineStr">
        <is>
          <t>Plan de Manejo Ambiental Específico para Instalación de Faenas Río Ventisquero, Rev. 1</t>
        </is>
      </c>
      <c r="J21" t="inlineStr">
        <is>
          <t>Semanal</t>
        </is>
      </c>
      <c r="K21" t="inlineStr">
        <is>
          <t>Velocidad ≤ límite autorizado</t>
        </is>
      </c>
      <c r="L21" t="inlineStr">
        <is>
          <t>Inspección y observación</t>
        </is>
      </c>
      <c r="M21" t="inlineStr">
        <is>
          <t>Cumplimiento verificado</t>
        </is>
      </c>
      <c r="N21" t="inlineStr"/>
      <c r="O21" t="inlineStr"/>
      <c r="P21" t="inlineStr"/>
      <c r="Q21" t="inlineStr"/>
      <c r="R21" t="inlineStr"/>
      <c r="S21" t="inlineStr"/>
      <c r="T21" s="9" t="inlineStr"/>
      <c r="U21" t="inlineStr"/>
      <c r="V21" t="inlineStr"/>
      <c r="W21" s="9" t="inlineStr"/>
      <c r="X21" s="9" t="inlineStr"/>
      <c r="Y21">
        <f>SI(Y(W21&lt;&gt;"";X21="");HOY()-W21;SI(Y(W21&lt;&gt;"";X21&lt;&gt;"");X21-W21;""))</f>
        <v/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>
        <f>SI(N21="Cumple";Config!$B$9;SI(N21="Cumple parcialmente";Config!$B$10;SI(N21="No cumple";Config!$B$11;SI(N21="En proceso de regularización";Config!$B$12;SI(N21="No aplica";"NA";"PEND")))))</f>
        <v/>
      </c>
      <c r="AI21">
        <f>SI(AH21="NA";"NA";SI(AH21="PEND";"PEND";AH21*100))</f>
        <v/>
      </c>
      <c r="AJ21" t="inlineStr">
        <is>
          <t>Obligación contenida en el Plan de Manejo</t>
        </is>
      </c>
      <c r="AK21" t="inlineStr">
        <is>
          <t>Expreso en el Plan de Manejo</t>
        </is>
      </c>
    </row>
    <row r="22">
      <c r="A22" t="inlineStr">
        <is>
          <t>REQ-021</t>
        </is>
      </c>
      <c r="B22" t="inlineStr">
        <is>
          <t>Combustibles</t>
        </is>
      </c>
      <c r="C22" t="inlineStr">
        <is>
          <t>Registro</t>
        </is>
      </c>
      <c r="D22" t="inlineStr">
        <is>
          <t>Operación</t>
        </is>
      </c>
      <c r="E22" t="inlineStr">
        <is>
          <t>Estanque/combustible</t>
        </is>
      </c>
      <c r="F22" t="inlineStr">
        <is>
          <t>Registro consumo mensual de combustible</t>
        </is>
      </c>
      <c r="G22" t="inlineStr">
        <is>
          <t>Registro mensual para gestión y declaraciones</t>
        </is>
      </c>
      <c r="H22" t="inlineStr">
        <is>
          <t>Plan de Manejo Ambiental Específico para Instalación de Faenas Río Ventisquero, Rev. 1</t>
        </is>
      </c>
      <c r="I22" t="inlineStr">
        <is>
          <t>Plan de Manejo Ambiental Específico para Instalación de Faenas Río Ventisquero, Rev. 1</t>
        </is>
      </c>
      <c r="J22" t="inlineStr">
        <is>
          <t>Mensual</t>
        </is>
      </c>
      <c r="K22" t="inlineStr">
        <is>
          <t>Registro completo del mes</t>
        </is>
      </c>
      <c r="L22" t="inlineStr">
        <is>
          <t>Revisión de registros</t>
        </is>
      </c>
      <c r="M22" t="inlineStr">
        <is>
          <t>Registro actualizado</t>
        </is>
      </c>
      <c r="N22" t="inlineStr"/>
      <c r="O22" t="inlineStr"/>
      <c r="P22" t="inlineStr"/>
      <c r="Q22" t="inlineStr"/>
      <c r="R22" t="inlineStr"/>
      <c r="S22" t="inlineStr"/>
      <c r="T22" s="9" t="inlineStr"/>
      <c r="U22" t="inlineStr"/>
      <c r="V22" t="inlineStr"/>
      <c r="W22" s="9" t="inlineStr"/>
      <c r="X22" s="9" t="inlineStr"/>
      <c r="Y22">
        <f>SI(Y(W22&lt;&gt;"";X22="");HOY()-W22;SI(Y(W22&lt;&gt;"";X22&lt;&gt;"");X22-W22;""))</f>
        <v/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>
        <f>SI(N22="Cumple";Config!$B$9;SI(N22="Cumple parcialmente";Config!$B$10;SI(N22="No cumple";Config!$B$11;SI(N22="En proceso de regularización";Config!$B$12;SI(N22="No aplica";"NA";"PEND")))))</f>
        <v/>
      </c>
      <c r="AI22">
        <f>SI(AH22="NA";"NA";SI(AH22="PEND";"PEND";AH22*100))</f>
        <v/>
      </c>
      <c r="AJ22" t="inlineStr">
        <is>
          <t>Obligación contenida en el Plan de Manejo</t>
        </is>
      </c>
      <c r="AK22" t="inlineStr">
        <is>
          <t>Derivado del Plan de Manejo</t>
        </is>
      </c>
    </row>
    <row r="23">
      <c r="A23" t="inlineStr">
        <is>
          <t>REQ-022</t>
        </is>
      </c>
      <c r="B23" t="inlineStr">
        <is>
          <t>Generador eléctrico</t>
        </is>
      </c>
      <c r="C23" t="inlineStr">
        <is>
          <t>Operación</t>
        </is>
      </c>
      <c r="D23" t="inlineStr">
        <is>
          <t>Operación</t>
        </is>
      </c>
      <c r="E23" t="inlineStr">
        <is>
          <t>Planta eléctrica</t>
        </is>
      </c>
      <c r="F23" t="inlineStr">
        <is>
          <t>Horas de funcionamiento del generador</t>
        </is>
      </c>
      <c r="G23" t="inlineStr">
        <is>
          <t>Registro de horas de operación</t>
        </is>
      </c>
      <c r="H23" t="inlineStr">
        <is>
          <t>Plan de Manejo Ambiental Específico para Instalación de Faenas Río Ventisquero, Rev. 1</t>
        </is>
      </c>
      <c r="I23" t="inlineStr">
        <is>
          <t>Plan de Manejo Ambiental Específico para Instalación de Faenas Río Ventisquero, Rev. 1</t>
        </is>
      </c>
      <c r="J23" t="inlineStr">
        <is>
          <t>Mensual</t>
        </is>
      </c>
      <c r="K23" t="inlineStr">
        <is>
          <t>Registro de horas disponible</t>
        </is>
      </c>
      <c r="L23" t="inlineStr">
        <is>
          <t>Revisión de bitácora</t>
        </is>
      </c>
      <c r="M23" t="inlineStr">
        <is>
          <t>Horas registradas</t>
        </is>
      </c>
      <c r="N23" t="inlineStr"/>
      <c r="O23" t="inlineStr"/>
      <c r="P23" t="inlineStr"/>
      <c r="Q23" t="inlineStr"/>
      <c r="R23" t="inlineStr"/>
      <c r="S23" t="inlineStr"/>
      <c r="T23" s="9" t="inlineStr"/>
      <c r="U23" t="inlineStr"/>
      <c r="V23" t="inlineStr"/>
      <c r="W23" s="9" t="inlineStr"/>
      <c r="X23" s="9" t="inlineStr"/>
      <c r="Y23">
        <f>SI(Y(W23&lt;&gt;"";X23="");HOY()-W23;SI(Y(W23&lt;&gt;"";X23&lt;&gt;"");X23-W23;""))</f>
        <v/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>
        <f>SI(N23="Cumple";Config!$B$9;SI(N23="Cumple parcialmente";Config!$B$10;SI(N23="No cumple";Config!$B$11;SI(N23="En proceso de regularización";Config!$B$12;SI(N23="No aplica";"NA";"PEND")))))</f>
        <v/>
      </c>
      <c r="AI23">
        <f>SI(AH23="NA";"NA";SI(AH23="PEND";"PEND";AH23*100))</f>
        <v/>
      </c>
      <c r="AJ23" t="inlineStr">
        <is>
          <t>Obligación contenida en el Plan de Manejo</t>
        </is>
      </c>
      <c r="AK23" t="inlineStr">
        <is>
          <t>Derivado del Plan de Manejo</t>
        </is>
      </c>
    </row>
    <row r="24">
      <c r="A24" t="inlineStr">
        <is>
          <t>REQ-023</t>
        </is>
      </c>
      <c r="B24" t="inlineStr">
        <is>
          <t>Generador eléctrico</t>
        </is>
      </c>
      <c r="C24" t="inlineStr">
        <is>
          <t>Potencia</t>
        </is>
      </c>
      <c r="D24" t="inlineStr">
        <is>
          <t>Operación</t>
        </is>
      </c>
      <c r="E24" t="inlineStr">
        <is>
          <t>Planta eléctrica</t>
        </is>
      </c>
      <c r="F24" t="inlineStr">
        <is>
          <t>Potencia del generador registrada</t>
        </is>
      </c>
      <c r="G24" t="inlineStr">
        <is>
          <t>Antecedente técnico coherente con operación</t>
        </is>
      </c>
      <c r="H24" t="inlineStr">
        <is>
          <t>Plan de Manejo Ambiental Específico para Instalación de Faenas Río Ventisquero, Rev. 1</t>
        </is>
      </c>
      <c r="I24" t="inlineStr">
        <is>
          <t>Plan de Manejo Ambiental Específico para Instalación de Faenas Río Ventisquero, Rev. 1</t>
        </is>
      </c>
      <c r="J24" t="inlineStr">
        <is>
          <t>Mensual</t>
        </is>
      </c>
      <c r="K24" t="inlineStr">
        <is>
          <t>Dato de potencia disponible</t>
        </is>
      </c>
      <c r="L24" t="inlineStr">
        <is>
          <t>Revisión documental</t>
        </is>
      </c>
      <c r="M24" t="inlineStr">
        <is>
          <t>Información disponible</t>
        </is>
      </c>
      <c r="N24" t="inlineStr"/>
      <c r="O24" t="inlineStr"/>
      <c r="P24" t="inlineStr"/>
      <c r="Q24" t="inlineStr"/>
      <c r="R24" t="inlineStr"/>
      <c r="S24" t="inlineStr"/>
      <c r="T24" s="9" t="inlineStr"/>
      <c r="U24" t="inlineStr"/>
      <c r="V24" t="inlineStr"/>
      <c r="W24" s="9" t="inlineStr"/>
      <c r="X24" s="9" t="inlineStr"/>
      <c r="Y24">
        <f>SI(Y(W24&lt;&gt;"";X24="");HOY()-W24;SI(Y(W24&lt;&gt;"";X24&lt;&gt;"");X24-W24;""))</f>
        <v/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>
        <f>SI(N24="Cumple";Config!$B$9;SI(N24="Cumple parcialmente";Config!$B$10;SI(N24="No cumple";Config!$B$11;SI(N24="En proceso de regularización";Config!$B$12;SI(N24="No aplica";"NA";"PEND")))))</f>
        <v/>
      </c>
      <c r="AI24">
        <f>SI(AH24="NA";"NA";SI(AH24="PEND";"PEND";AH24*100))</f>
        <v/>
      </c>
      <c r="AJ24" t="inlineStr">
        <is>
          <t>Obligación contenida en el Plan de Manejo</t>
        </is>
      </c>
      <c r="AK24" t="inlineStr">
        <is>
          <t>Derivado del Plan de Manejo</t>
        </is>
      </c>
    </row>
    <row r="25">
      <c r="A25" t="inlineStr">
        <is>
          <t>REQ-024</t>
        </is>
      </c>
      <c r="B25" t="inlineStr">
        <is>
          <t>Ruido</t>
        </is>
      </c>
      <c r="C25" t="inlineStr">
        <is>
          <t>Horarios</t>
        </is>
      </c>
      <c r="D25" t="inlineStr">
        <is>
          <t>Operación</t>
        </is>
      </c>
      <c r="E25" t="inlineStr">
        <is>
          <t>Instalación completa</t>
        </is>
      </c>
      <c r="F25" t="inlineStr">
        <is>
          <t>Cumplimiento horario de trabajo</t>
        </is>
      </c>
      <c r="G25" t="inlineStr">
        <is>
          <t>Actividades dentro del horario autorizado</t>
        </is>
      </c>
      <c r="H25" t="inlineStr">
        <is>
          <t>Plan de Manejo Ambiental Específico para Instalación de Faenas Río Ventisquero, Rev. 1</t>
        </is>
      </c>
      <c r="I25" t="inlineStr">
        <is>
          <t>Validar con normativa vigente o autoridad competente</t>
        </is>
      </c>
      <c r="J25" t="inlineStr">
        <is>
          <t>Semanal</t>
        </is>
      </c>
      <c r="K25" t="inlineStr">
        <is>
          <t>Sin actividades fuera de horario</t>
        </is>
      </c>
      <c r="L25" t="inlineStr">
        <is>
          <t>Inspección y registro</t>
        </is>
      </c>
      <c r="M25" t="inlineStr">
        <is>
          <t>Horario respetado</t>
        </is>
      </c>
      <c r="N25" t="inlineStr"/>
      <c r="O25" t="inlineStr"/>
      <c r="P25" t="inlineStr"/>
      <c r="Q25" t="inlineStr"/>
      <c r="R25" t="inlineStr"/>
      <c r="S25" t="inlineStr"/>
      <c r="T25" s="9" t="inlineStr"/>
      <c r="U25" t="inlineStr"/>
      <c r="V25" t="inlineStr"/>
      <c r="W25" s="9" t="inlineStr"/>
      <c r="X25" s="9" t="inlineStr"/>
      <c r="Y25">
        <f>SI(Y(W25&lt;&gt;"";X25="");HOY()-W25;SI(Y(W25&lt;&gt;"";X25&lt;&gt;"");X25-W25;""))</f>
        <v/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>
        <f>SI(N25="Cumple";Config!$B$9;SI(N25="Cumple parcialmente";Config!$B$10;SI(N25="No cumple";Config!$B$11;SI(N25="En proceso de regularización";Config!$B$12;SI(N25="No aplica";"NA";"PEND")))))</f>
        <v/>
      </c>
      <c r="AI25">
        <f>SI(AH25="NA";"NA";SI(AH25="PEND";"PEND";AH25*100))</f>
        <v/>
      </c>
      <c r="AJ25" t="inlineStr">
        <is>
          <t>Obligación contenida en el Plan de Manejo</t>
        </is>
      </c>
      <c r="AK25" t="inlineStr">
        <is>
          <t>Expreso en el Plan de Manejo</t>
        </is>
      </c>
    </row>
    <row r="26">
      <c r="A26" t="inlineStr">
        <is>
          <t>REQ-025</t>
        </is>
      </c>
      <c r="B26" t="inlineStr">
        <is>
          <t>Ruido</t>
        </is>
      </c>
      <c r="C26" t="inlineStr">
        <is>
          <t>Generador</t>
        </is>
      </c>
      <c r="D26" t="inlineStr">
        <is>
          <t>Operación</t>
        </is>
      </c>
      <c r="E26" t="inlineStr">
        <is>
          <t>Planta eléctrica</t>
        </is>
      </c>
      <c r="F26" t="inlineStr">
        <is>
          <t>Estado y ubicación del grupo generador</t>
        </is>
      </c>
      <c r="G26" t="inlineStr">
        <is>
          <t>Generador en sector autorizado con mitigación</t>
        </is>
      </c>
      <c r="H26" t="inlineStr">
        <is>
          <t>Plan de Manejo Ambiental Específico para Instalación de Faenas Río Ventisquero, Rev. 1</t>
        </is>
      </c>
      <c r="I26" t="inlineStr">
        <is>
          <t>Plan de Manejo Ambiental Específico para Instalación de Faenas Río Ventisquero, Rev. 1</t>
        </is>
      </c>
      <c r="J26" t="inlineStr">
        <is>
          <t>Mensual</t>
        </is>
      </c>
      <c r="K26" t="inlineStr">
        <is>
          <t>Ubicación conforme al PMA</t>
        </is>
      </c>
      <c r="L26" t="inlineStr">
        <is>
          <t>Inspección visual</t>
        </is>
      </c>
      <c r="M26" t="inlineStr">
        <is>
          <t>Generador correctamente emplazado</t>
        </is>
      </c>
      <c r="N26" t="inlineStr"/>
      <c r="O26" t="inlineStr"/>
      <c r="P26" t="inlineStr"/>
      <c r="Q26" t="inlineStr"/>
      <c r="R26" t="inlineStr"/>
      <c r="S26" t="inlineStr"/>
      <c r="T26" s="9" t="inlineStr"/>
      <c r="U26" t="inlineStr"/>
      <c r="V26" t="inlineStr"/>
      <c r="W26" s="9" t="inlineStr"/>
      <c r="X26" s="9" t="inlineStr"/>
      <c r="Y26">
        <f>SI(Y(W26&lt;&gt;"";X26="");HOY()-W26;SI(Y(W26&lt;&gt;"";X26&lt;&gt;"");X26-W26;""))</f>
        <v/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>
        <f>SI(N26="Cumple";Config!$B$9;SI(N26="Cumple parcialmente";Config!$B$10;SI(N26="No cumple";Config!$B$11;SI(N26="En proceso de regularización";Config!$B$12;SI(N26="No aplica";"NA";"PEND")))))</f>
        <v/>
      </c>
      <c r="AI26">
        <f>SI(AH26="NA";"NA";SI(AH26="PEND";"PEND";AH26*100))</f>
        <v/>
      </c>
      <c r="AJ26" t="inlineStr">
        <is>
          <t>Obligación contenida en el Plan de Manejo</t>
        </is>
      </c>
      <c r="AK26" t="inlineStr">
        <is>
          <t>Expreso en el Plan de Manejo</t>
        </is>
      </c>
    </row>
    <row r="27">
      <c r="A27" t="inlineStr">
        <is>
          <t>REQ-026</t>
        </is>
      </c>
      <c r="B27" t="inlineStr">
        <is>
          <t>Ruido</t>
        </is>
      </c>
      <c r="C27" t="inlineStr">
        <is>
          <t>Mitigación</t>
        </is>
      </c>
      <c r="D27" t="inlineStr">
        <is>
          <t>Operación</t>
        </is>
      </c>
      <c r="E27" t="inlineStr">
        <is>
          <t>Instalación completa</t>
        </is>
      </c>
      <c r="F27" t="inlineStr">
        <is>
          <t>Medidas de mitigación acústica</t>
        </is>
      </c>
      <c r="G27" t="inlineStr">
        <is>
          <t>Implementación de medidas del PMA</t>
        </is>
      </c>
      <c r="H27" t="inlineStr">
        <is>
          <t>Plan de Manejo Ambiental Específico para Instalación de Faenas Río Ventisquero, Rev. 1</t>
        </is>
      </c>
      <c r="I27" t="inlineStr">
        <is>
          <t>Plan de Manejo Ambiental Específico para Instalación de Faenas Río Ventisquero, Rev. 1</t>
        </is>
      </c>
      <c r="J27" t="inlineStr">
        <is>
          <t>Mensual</t>
        </is>
      </c>
      <c r="K27" t="inlineStr">
        <is>
          <t>Medidas implementadas</t>
        </is>
      </c>
      <c r="L27" t="inlineStr">
        <is>
          <t>Inspección visual</t>
        </is>
      </c>
      <c r="M27" t="inlineStr">
        <is>
          <t>Mitigación operativa</t>
        </is>
      </c>
      <c r="N27" t="inlineStr"/>
      <c r="O27" t="inlineStr"/>
      <c r="P27" t="inlineStr"/>
      <c r="Q27" t="inlineStr"/>
      <c r="R27" t="inlineStr"/>
      <c r="S27" t="inlineStr"/>
      <c r="T27" s="9" t="inlineStr"/>
      <c r="U27" t="inlineStr"/>
      <c r="V27" t="inlineStr"/>
      <c r="W27" s="9" t="inlineStr"/>
      <c r="X27" s="9" t="inlineStr"/>
      <c r="Y27">
        <f>SI(Y(W27&lt;&gt;"";X27="");HOY()-W27;SI(Y(W27&lt;&gt;"";X27&lt;&gt;"");X27-W27;""))</f>
        <v/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>
        <f>SI(N27="Cumple";Config!$B$9;SI(N27="Cumple parcialmente";Config!$B$10;SI(N27="No cumple";Config!$B$11;SI(N27="En proceso de regularización";Config!$B$12;SI(N27="No aplica";"NA";"PEND")))))</f>
        <v/>
      </c>
      <c r="AI27">
        <f>SI(AH27="NA";"NA";SI(AH27="PEND";"PEND";AH27*100))</f>
        <v/>
      </c>
      <c r="AJ27" t="inlineStr">
        <is>
          <t>Obligación contenida en el Plan de Manejo</t>
        </is>
      </c>
      <c r="AK27" t="inlineStr">
        <is>
          <t>Derivado del Plan de Manejo</t>
        </is>
      </c>
    </row>
    <row r="28">
      <c r="A28" t="inlineStr">
        <is>
          <t>REQ-027</t>
        </is>
      </c>
      <c r="B28" t="inlineStr">
        <is>
          <t>Ruido</t>
        </is>
      </c>
      <c r="C28" t="inlineStr">
        <is>
          <t>Reclamos</t>
        </is>
      </c>
      <c r="D28" t="inlineStr">
        <is>
          <t>Operación</t>
        </is>
      </c>
      <c r="E28" t="inlineStr">
        <is>
          <t>Comunidad</t>
        </is>
      </c>
      <c r="F28" t="inlineStr">
        <is>
          <t>Reclamos o denuncias por ruido</t>
        </is>
      </c>
      <c r="G28" t="inlineStr">
        <is>
          <t>Registro y respuesta a reclamos</t>
        </is>
      </c>
      <c r="H28" t="inlineStr">
        <is>
          <t>Plan de Manejo Ambiental Específico para Instalación de Faenas Río Ventisquero, Rev. 1</t>
        </is>
      </c>
      <c r="I28" t="inlineStr">
        <is>
          <t>Plan de Manejo Ambiental Específico para Instalación de Faenas Río Ventisquero, Rev. 1</t>
        </is>
      </c>
      <c r="J28" t="inlineStr">
        <is>
          <t>Mensual</t>
        </is>
      </c>
      <c r="K28" t="inlineStr">
        <is>
          <t>Registro de reclamos y acciones</t>
        </is>
      </c>
      <c r="L28" t="inlineStr">
        <is>
          <t>Revisión documental</t>
        </is>
      </c>
      <c r="M28" t="inlineStr">
        <is>
          <t>Reclamos gestionados</t>
        </is>
      </c>
      <c r="N28" t="inlineStr"/>
      <c r="O28" t="inlineStr"/>
      <c r="P28" t="inlineStr"/>
      <c r="Q28" t="inlineStr"/>
      <c r="R28" t="inlineStr"/>
      <c r="S28" t="inlineStr"/>
      <c r="T28" s="9" t="inlineStr"/>
      <c r="U28" t="inlineStr"/>
      <c r="V28" t="inlineStr"/>
      <c r="W28" s="9" t="inlineStr"/>
      <c r="X28" s="9" t="inlineStr"/>
      <c r="Y28">
        <f>SI(Y(W28&lt;&gt;"";X28="");HOY()-W28;SI(Y(W28&lt;&gt;"";X28&lt;&gt;"");X28-W28;""))</f>
        <v/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>
        <f>SI(N28="Cumple";Config!$B$9;SI(N28="Cumple parcialmente";Config!$B$10;SI(N28="No cumple";Config!$B$11;SI(N28="En proceso de regularización";Config!$B$12;SI(N28="No aplica";"NA";"PEND")))))</f>
        <v/>
      </c>
      <c r="AI28">
        <f>SI(AH28="NA";"NA";SI(AH28="PEND";"PEND";AH28*100))</f>
        <v/>
      </c>
      <c r="AJ28" t="inlineStr">
        <is>
          <t>Obligación contenida en el Plan de Manejo</t>
        </is>
      </c>
      <c r="AK28" t="inlineStr">
        <is>
          <t>Derivado del Plan de Manejo</t>
        </is>
      </c>
    </row>
    <row r="29">
      <c r="A29" t="inlineStr">
        <is>
          <t>REQ-028</t>
        </is>
      </c>
      <c r="B29" t="inlineStr">
        <is>
          <t>Protección del suelo</t>
        </is>
      </c>
      <c r="C29" t="inlineStr">
        <is>
          <t>Superficies</t>
        </is>
      </c>
      <c r="D29" t="inlineStr">
        <is>
          <t>Operación</t>
        </is>
      </c>
      <c r="E29" t="inlineStr">
        <is>
          <t>Estanques/taller</t>
        </is>
      </c>
      <c r="F29" t="inlineStr">
        <is>
          <t>Existencia de superficies impermeables</t>
        </is>
      </c>
      <c r="G29" t="inlineStr">
        <is>
          <t>Radier o superficies impermeabilizadas</t>
        </is>
      </c>
      <c r="H29" t="inlineStr">
        <is>
          <t>Plan de Manejo Ambiental Específico para Instalación de Faenas Río Ventisquero, Rev. 1</t>
        </is>
      </c>
      <c r="I29" t="inlineStr">
        <is>
          <t>Plan de Manejo Ambiental Específico para Instalación de Faenas Río Ventisquero, Rev. 1</t>
        </is>
      </c>
      <c r="J29" t="inlineStr">
        <is>
          <t>Mensual</t>
        </is>
      </c>
      <c r="K29" t="inlineStr">
        <is>
          <t>Superficies en buen estado</t>
        </is>
      </c>
      <c r="L29" t="inlineStr">
        <is>
          <t>Inspección visual</t>
        </is>
      </c>
      <c r="M29" t="inlineStr">
        <is>
          <t>Impermeabilización operativa</t>
        </is>
      </c>
      <c r="N29" t="inlineStr"/>
      <c r="O29" t="inlineStr"/>
      <c r="P29" t="inlineStr"/>
      <c r="Q29" t="inlineStr"/>
      <c r="R29" t="inlineStr"/>
      <c r="S29" t="inlineStr"/>
      <c r="T29" s="9" t="inlineStr"/>
      <c r="U29" t="inlineStr"/>
      <c r="V29" t="inlineStr"/>
      <c r="W29" s="9" t="inlineStr"/>
      <c r="X29" s="9" t="inlineStr"/>
      <c r="Y29">
        <f>SI(Y(W29&lt;&gt;"";X29="");HOY()-W29;SI(Y(W29&lt;&gt;"";X29&lt;&gt;"");X29-W29;""))</f>
        <v/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>
        <f>SI(N29="Cumple";Config!$B$9;SI(N29="Cumple parcialmente";Config!$B$10;SI(N29="No cumple";Config!$B$11;SI(N29="En proceso de regularización";Config!$B$12;SI(N29="No aplica";"NA";"PEND")))))</f>
        <v/>
      </c>
      <c r="AI29">
        <f>SI(AH29="NA";"NA";SI(AH29="PEND";"PEND";AH29*100))</f>
        <v/>
      </c>
      <c r="AJ29" t="inlineStr">
        <is>
          <t>Obligación contenida en el Plan de Manejo</t>
        </is>
      </c>
      <c r="AK29" t="inlineStr">
        <is>
          <t>Expreso en el Plan de Manejo</t>
        </is>
      </c>
    </row>
    <row r="30">
      <c r="A30" t="inlineStr">
        <is>
          <t>REQ-029</t>
        </is>
      </c>
      <c r="B30" t="inlineStr">
        <is>
          <t>Sustancias peligrosas</t>
        </is>
      </c>
      <c r="C30" t="inlineStr">
        <is>
          <t>Contención</t>
        </is>
      </c>
      <c r="D30" t="inlineStr">
        <is>
          <t>Operación</t>
        </is>
      </c>
      <c r="E30" t="inlineStr">
        <is>
          <t>Bodega combustible/taller</t>
        </is>
      </c>
      <c r="F30" t="inlineStr">
        <is>
          <t>Uso de bandejas de contención</t>
        </is>
      </c>
      <c r="G30" t="inlineStr">
        <is>
          <t>Bandejas bajo estanques y equipos</t>
        </is>
      </c>
      <c r="H30" t="inlineStr">
        <is>
          <t>Plan de Manejo Ambiental Específico para Instalación de Faenas Río Ventisquero, Rev. 1</t>
        </is>
      </c>
      <c r="I30" t="inlineStr">
        <is>
          <t>Plan de Manejo Ambiental Específico para Instalación de Faenas Río Ventisquero, Rev. 1</t>
        </is>
      </c>
      <c r="J30" t="inlineStr">
        <is>
          <t>Semanal</t>
        </is>
      </c>
      <c r="K30" t="inlineStr">
        <is>
          <t>Bandejas instaladas y limpias</t>
        </is>
      </c>
      <c r="L30" t="inlineStr">
        <is>
          <t>Inspección visual</t>
        </is>
      </c>
      <c r="M30" t="inlineStr">
        <is>
          <t>Contención secundaria operativa</t>
        </is>
      </c>
      <c r="N30" t="inlineStr"/>
      <c r="O30" t="inlineStr"/>
      <c r="P30" t="inlineStr"/>
      <c r="Q30" t="inlineStr"/>
      <c r="R30" t="inlineStr"/>
      <c r="S30" t="inlineStr"/>
      <c r="T30" s="9" t="inlineStr"/>
      <c r="U30" t="inlineStr"/>
      <c r="V30" t="inlineStr"/>
      <c r="W30" s="9" t="inlineStr"/>
      <c r="X30" s="9" t="inlineStr"/>
      <c r="Y30">
        <f>SI(Y(W30&lt;&gt;"";X30="");HOY()-W30;SI(Y(W30&lt;&gt;"";X30&lt;&gt;"");X30-W30;""))</f>
        <v/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>
        <f>SI(N30="Cumple";Config!$B$9;SI(N30="Cumple parcialmente";Config!$B$10;SI(N30="No cumple";Config!$B$11;SI(N30="En proceso de regularización";Config!$B$12;SI(N30="No aplica";"NA";"PEND")))))</f>
        <v/>
      </c>
      <c r="AI30">
        <f>SI(AH30="NA";"NA";SI(AH30="PEND";"PEND";AH30*100))</f>
        <v/>
      </c>
      <c r="AJ30" t="inlineStr">
        <is>
          <t>Obligación contenida en el Plan de Manejo</t>
        </is>
      </c>
      <c r="AK30" t="inlineStr">
        <is>
          <t>Expreso en el Plan de Manejo</t>
        </is>
      </c>
    </row>
    <row r="31">
      <c r="A31" t="inlineStr">
        <is>
          <t>REQ-030</t>
        </is>
      </c>
      <c r="B31" t="inlineStr">
        <is>
          <t>Derrames y contingencias</t>
        </is>
      </c>
      <c r="C31" t="inlineStr">
        <is>
          <t>Kit derrames</t>
        </is>
      </c>
      <c r="D31" t="inlineStr">
        <is>
          <t>Operación</t>
        </is>
      </c>
      <c r="E31" t="inlineStr">
        <is>
          <t>Taller/estanque</t>
        </is>
      </c>
      <c r="F31" t="inlineStr">
        <is>
          <t>Disponibilidad kit para derrames</t>
        </is>
      </c>
      <c r="G31" t="inlineStr">
        <is>
          <t>Kit completo y accesible</t>
        </is>
      </c>
      <c r="H31" t="inlineStr">
        <is>
          <t>Plan de Manejo Ambiental Específico para Instalación de Faenas Río Ventisquero, Rev. 1</t>
        </is>
      </c>
      <c r="I31" t="inlineStr">
        <is>
          <t>Plan de Manejo Ambiental Específico para Instalación de Faenas Río Ventisquero, Rev. 1</t>
        </is>
      </c>
      <c r="J31" t="inlineStr">
        <is>
          <t>Mensual</t>
        </is>
      </c>
      <c r="K31" t="inlineStr">
        <is>
          <t>Kit completo y vigente</t>
        </is>
      </c>
      <c r="L31" t="inlineStr">
        <is>
          <t>Inspección física</t>
        </is>
      </c>
      <c r="M31" t="inlineStr">
        <is>
          <t>Kit operativo</t>
        </is>
      </c>
      <c r="N31" t="inlineStr"/>
      <c r="O31" t="inlineStr"/>
      <c r="P31" t="inlineStr"/>
      <c r="Q31" t="inlineStr"/>
      <c r="R31" t="inlineStr"/>
      <c r="S31" t="inlineStr"/>
      <c r="T31" s="9" t="inlineStr"/>
      <c r="U31" t="inlineStr"/>
      <c r="V31" t="inlineStr"/>
      <c r="W31" s="9" t="inlineStr"/>
      <c r="X31" s="9" t="inlineStr"/>
      <c r="Y31">
        <f>SI(Y(W31&lt;&gt;"";X31="");HOY()-W31;SI(Y(W31&lt;&gt;"";X31&lt;&gt;"");X31-W31;""))</f>
        <v/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>
        <f>SI(N31="Cumple";Config!$B$9;SI(N31="Cumple parcialmente";Config!$B$10;SI(N31="No cumple";Config!$B$11;SI(N31="En proceso de regularización";Config!$B$12;SI(N31="No aplica";"NA";"PEND")))))</f>
        <v/>
      </c>
      <c r="AI31">
        <f>SI(AH31="NA";"NA";SI(AH31="PEND";"PEND";AH31*100))</f>
        <v/>
      </c>
      <c r="AJ31" t="inlineStr">
        <is>
          <t>Obligación contenida en el Plan de Manejo</t>
        </is>
      </c>
      <c r="AK31" t="inlineStr">
        <is>
          <t>Expreso en el Plan de Manejo</t>
        </is>
      </c>
    </row>
    <row r="32">
      <c r="A32" t="inlineStr">
        <is>
          <t>REQ-031</t>
        </is>
      </c>
      <c r="B32" t="inlineStr">
        <is>
          <t>Sustancias peligrosas</t>
        </is>
      </c>
      <c r="C32" t="inlineStr">
        <is>
          <t>Señalización</t>
        </is>
      </c>
      <c r="D32" t="inlineStr">
        <is>
          <t>Operación</t>
        </is>
      </c>
      <c r="E32" t="inlineStr">
        <is>
          <t>Bodegas y estanques</t>
        </is>
      </c>
      <c r="F32" t="inlineStr">
        <is>
          <t>Señalización de sustancias peligrosas</t>
        </is>
      </c>
      <c r="G32" t="inlineStr">
        <is>
          <t>Señalética conforme a normativa</t>
        </is>
      </c>
      <c r="H32" t="inlineStr">
        <is>
          <t>Plan de Manejo Ambiental Específico para Instalación de Faenas Río Ventisquero, Rev. 1</t>
        </is>
      </c>
      <c r="I32" t="inlineStr">
        <is>
          <t>Validar con normativa vigente o autoridad competente</t>
        </is>
      </c>
      <c r="J32" t="inlineStr">
        <is>
          <t>Mensual</t>
        </is>
      </c>
      <c r="K32" t="inlineStr">
        <is>
          <t>Señalización visible y legible</t>
        </is>
      </c>
      <c r="L32" t="inlineStr">
        <is>
          <t>Inspección visual</t>
        </is>
      </c>
      <c r="M32" t="inlineStr">
        <is>
          <t>Señalización adecuada</t>
        </is>
      </c>
      <c r="N32" t="inlineStr"/>
      <c r="O32" t="inlineStr"/>
      <c r="P32" t="inlineStr"/>
      <c r="Q32" t="inlineStr"/>
      <c r="R32" t="inlineStr"/>
      <c r="S32" t="inlineStr"/>
      <c r="T32" s="9" t="inlineStr"/>
      <c r="U32" t="inlineStr"/>
      <c r="V32" t="inlineStr"/>
      <c r="W32" s="9" t="inlineStr"/>
      <c r="X32" s="9" t="inlineStr"/>
      <c r="Y32">
        <f>SI(Y(W32&lt;&gt;"";X32="");HOY()-W32;SI(Y(W32&lt;&gt;"";X32&lt;&gt;"");X32-W32;""))</f>
        <v/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>
        <f>SI(N32="Cumple";Config!$B$9;SI(N32="Cumple parcialmente";Config!$B$10;SI(N32="No cumple";Config!$B$11;SI(N32="En proceso de regularización";Config!$B$12;SI(N32="No aplica";"NA";"PEND")))))</f>
        <v/>
      </c>
      <c r="AI32">
        <f>SI(AH32="NA";"NA";SI(AH32="PEND";"PEND";AH32*100))</f>
        <v/>
      </c>
      <c r="AJ32" t="inlineStr">
        <is>
          <t>Exigencia legal o reglamentaria</t>
        </is>
      </c>
      <c r="AK32" t="inlineStr">
        <is>
          <t>Norma o permiso aplicable</t>
        </is>
      </c>
    </row>
    <row r="33">
      <c r="A33" t="inlineStr">
        <is>
          <t>REQ-032</t>
        </is>
      </c>
      <c r="B33" t="inlineStr">
        <is>
          <t>Sustancias peligrosas</t>
        </is>
      </c>
      <c r="C33" t="inlineStr">
        <is>
          <t>HDS</t>
        </is>
      </c>
      <c r="D33" t="inlineStr">
        <is>
          <t>Operación</t>
        </is>
      </c>
      <c r="E33" t="inlineStr">
        <is>
          <t>Bodegas químicas/RESPEL</t>
        </is>
      </c>
      <c r="F33" t="inlineStr">
        <is>
          <t>Hojas de Datos de Seguridad disponibles</t>
        </is>
      </c>
      <c r="G33" t="inlineStr">
        <is>
          <t>HDS para sustancias almacenadas</t>
        </is>
      </c>
      <c r="H33" t="inlineStr">
        <is>
          <t>Plan de Manejo Ambiental Específico para Instalación de Faenas Río Ventisquero, Rev. 1</t>
        </is>
      </c>
      <c r="I33" t="inlineStr">
        <is>
          <t>DS 594 / DS 43</t>
        </is>
      </c>
      <c r="J33" t="inlineStr">
        <is>
          <t>Mensual</t>
        </is>
      </c>
      <c r="K33" t="inlineStr">
        <is>
          <t>HDS disponibles y actuales</t>
        </is>
      </c>
      <c r="L33" t="inlineStr">
        <is>
          <t>Revisión documental</t>
        </is>
      </c>
      <c r="M33" t="inlineStr">
        <is>
          <t>HDS accesibles</t>
        </is>
      </c>
      <c r="N33" t="inlineStr"/>
      <c r="O33" t="inlineStr"/>
      <c r="P33" t="inlineStr"/>
      <c r="Q33" t="inlineStr"/>
      <c r="R33" t="inlineStr"/>
      <c r="S33" t="inlineStr"/>
      <c r="T33" s="9" t="inlineStr"/>
      <c r="U33" t="inlineStr"/>
      <c r="V33" t="inlineStr"/>
      <c r="W33" s="9" t="inlineStr"/>
      <c r="X33" s="9" t="inlineStr"/>
      <c r="Y33">
        <f>SI(Y(W33&lt;&gt;"";X33="");HOY()-W33;SI(Y(W33&lt;&gt;"";X33&lt;&gt;"");X33-W33;""))</f>
        <v/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>
        <f>SI(N33="Cumple";Config!$B$9;SI(N33="Cumple parcialmente";Config!$B$10;SI(N33="No cumple";Config!$B$11;SI(N33="En proceso de regularización";Config!$B$12;SI(N33="No aplica";"NA";"PEND")))))</f>
        <v/>
      </c>
      <c r="AI33">
        <f>SI(AH33="NA";"NA";SI(AH33="PEND";"PEND";AH33*100))</f>
        <v/>
      </c>
      <c r="AJ33" t="inlineStr">
        <is>
          <t>Exigencia legal o reglamentaria</t>
        </is>
      </c>
      <c r="AK33" t="inlineStr">
        <is>
          <t>Norma o permiso aplicable</t>
        </is>
      </c>
    </row>
    <row r="34">
      <c r="A34" t="inlineStr">
        <is>
          <t>REQ-033</t>
        </is>
      </c>
      <c r="B34" t="inlineStr">
        <is>
          <t>Combustibles</t>
        </is>
      </c>
      <c r="C34" t="inlineStr">
        <is>
          <t>Carga/descarga</t>
        </is>
      </c>
      <c r="D34" t="inlineStr">
        <is>
          <t>Operación</t>
        </is>
      </c>
      <c r="E34" t="inlineStr">
        <is>
          <t>Estanque combustible</t>
        </is>
      </c>
      <c r="F34" t="inlineStr">
        <is>
          <t>Control de carga y descarga de combustibles</t>
        </is>
      </c>
      <c r="G34" t="inlineStr">
        <is>
          <t>Procedimiento sin derrames</t>
        </is>
      </c>
      <c r="H34" t="inlineStr">
        <is>
          <t>Plan de Manejo Ambiental Específico para Instalación de Faenas Río Ventisquero, Rev. 1</t>
        </is>
      </c>
      <c r="I34" t="inlineStr">
        <is>
          <t>Plan de Manejo Ambiental Específico para Instalación de Faenas Río Ventisquero, Rev. 1</t>
        </is>
      </c>
      <c r="J34" t="inlineStr">
        <is>
          <t>Semanal</t>
        </is>
      </c>
      <c r="K34" t="inlineStr">
        <is>
          <t>Operación controlada</t>
        </is>
      </c>
      <c r="L34" t="inlineStr">
        <is>
          <t>Inspección visual</t>
        </is>
      </c>
      <c r="M34" t="inlineStr">
        <is>
          <t>Sin derrames en operación</t>
        </is>
      </c>
      <c r="N34" t="inlineStr"/>
      <c r="O34" t="inlineStr"/>
      <c r="P34" t="inlineStr"/>
      <c r="Q34" t="inlineStr"/>
      <c r="R34" t="inlineStr"/>
      <c r="S34" t="inlineStr"/>
      <c r="T34" s="9" t="inlineStr"/>
      <c r="U34" t="inlineStr"/>
      <c r="V34" t="inlineStr"/>
      <c r="W34" s="9" t="inlineStr"/>
      <c r="X34" s="9" t="inlineStr"/>
      <c r="Y34">
        <f>SI(Y(W34&lt;&gt;"";X34="");HOY()-W34;SI(Y(W34&lt;&gt;"";X34&lt;&gt;"");X34-W34;""))</f>
        <v/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>
        <f>SI(N34="Cumple";Config!$B$9;SI(N34="Cumple parcialmente";Config!$B$10;SI(N34="No cumple";Config!$B$11;SI(N34="En proceso de regularización";Config!$B$12;SI(N34="No aplica";"NA";"PEND")))))</f>
        <v/>
      </c>
      <c r="AI34">
        <f>SI(AH34="NA";"NA";SI(AH34="PEND";"PEND";AH34*100))</f>
        <v/>
      </c>
      <c r="AJ34" t="inlineStr">
        <is>
          <t>Obligación contenida en el Plan de Manejo</t>
        </is>
      </c>
      <c r="AK34" t="inlineStr">
        <is>
          <t>Expreso en el Plan de Manejo</t>
        </is>
      </c>
    </row>
    <row r="35">
      <c r="A35" t="inlineStr">
        <is>
          <t>REQ-034</t>
        </is>
      </c>
      <c r="B35" t="inlineStr">
        <is>
          <t>Mantención mecánica</t>
        </is>
      </c>
      <c r="C35" t="inlineStr">
        <is>
          <t>Área taller</t>
        </is>
      </c>
      <c r="D35" t="inlineStr">
        <is>
          <t>Operación</t>
        </is>
      </c>
      <c r="E35" t="inlineStr">
        <is>
          <t>Taller mecánico</t>
        </is>
      </c>
      <c r="F35" t="inlineStr">
        <is>
          <t>Condiciones del área de mantención mecánica</t>
        </is>
      </c>
      <c r="G35" t="inlineStr">
        <is>
          <t>Taller ordenado con protección de suelo</t>
        </is>
      </c>
      <c r="H35" t="inlineStr">
        <is>
          <t>Plan de Manejo Ambiental Específico para Instalación de Faenas Río Ventisquero, Rev. 1</t>
        </is>
      </c>
      <c r="I35" t="inlineStr">
        <is>
          <t>Plan de Manejo Ambiental Específico para Instalación de Faenas Río Ventisquero, Rev. 1</t>
        </is>
      </c>
      <c r="J35" t="inlineStr">
        <is>
          <t>Semanal</t>
        </is>
      </c>
      <c r="K35" t="inlineStr">
        <is>
          <t>Área limpia y contenida</t>
        </is>
      </c>
      <c r="L35" t="inlineStr">
        <is>
          <t>Inspección visual</t>
        </is>
      </c>
      <c r="M35" t="inlineStr">
        <is>
          <t>Taller conforme</t>
        </is>
      </c>
      <c r="N35" t="inlineStr"/>
      <c r="O35" t="inlineStr"/>
      <c r="P35" t="inlineStr"/>
      <c r="Q35" t="inlineStr"/>
      <c r="R35" t="inlineStr"/>
      <c r="S35" t="inlineStr"/>
      <c r="T35" s="9" t="inlineStr"/>
      <c r="U35" t="inlineStr"/>
      <c r="V35" t="inlineStr"/>
      <c r="W35" s="9" t="inlineStr"/>
      <c r="X35" s="9" t="inlineStr"/>
      <c r="Y35">
        <f>SI(Y(W35&lt;&gt;"";X35="");HOY()-W35;SI(Y(W35&lt;&gt;"";X35&lt;&gt;"");X35-W35;""))</f>
        <v/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>
        <f>SI(N35="Cumple";Config!$B$9;SI(N35="Cumple parcialmente";Config!$B$10;SI(N35="No cumple";Config!$B$11;SI(N35="En proceso de regularización";Config!$B$12;SI(N35="No aplica";"NA";"PEND")))))</f>
        <v/>
      </c>
      <c r="AI35">
        <f>SI(AH35="NA";"NA";SI(AH35="PEND";"PEND";AH35*100))</f>
        <v/>
      </c>
      <c r="AJ35" t="inlineStr">
        <is>
          <t>Obligación contenida en el Plan de Manejo</t>
        </is>
      </c>
      <c r="AK35" t="inlineStr">
        <is>
          <t>Expreso en el Plan de Manejo</t>
        </is>
      </c>
    </row>
    <row r="36">
      <c r="A36" t="inlineStr">
        <is>
          <t>REQ-035</t>
        </is>
      </c>
      <c r="B36" t="inlineStr">
        <is>
          <t>Protección del suelo</t>
        </is>
      </c>
      <c r="C36" t="inlineStr">
        <is>
          <t>Geotextil</t>
        </is>
      </c>
      <c r="D36" t="inlineStr">
        <is>
          <t>Operación</t>
        </is>
      </c>
      <c r="E36" t="inlineStr">
        <is>
          <t>Taller/estanque</t>
        </is>
      </c>
      <c r="F36" t="inlineStr">
        <is>
          <t>Existencia de geotextil o equivalente</t>
        </is>
      </c>
      <c r="G36" t="inlineStr">
        <is>
          <t>Protección adicional del suelo</t>
        </is>
      </c>
      <c r="H36" t="inlineStr">
        <is>
          <t>Plan de Manejo Ambiental Específico para Instalación de Faenas Río Ventisquero, Rev. 1</t>
        </is>
      </c>
      <c r="I36" t="inlineStr">
        <is>
          <t>Plan de Manejo Ambiental Específico para Instalación de Faenas Río Ventisquero, Rev. 1</t>
        </is>
      </c>
      <c r="J36" t="inlineStr">
        <is>
          <t>Mensual</t>
        </is>
      </c>
      <c r="K36" t="inlineStr">
        <is>
          <t>Geotextil en buen estado</t>
        </is>
      </c>
      <c r="L36" t="inlineStr">
        <is>
          <t>Inspección visual</t>
        </is>
      </c>
      <c r="M36" t="inlineStr">
        <is>
          <t>Protección implementada</t>
        </is>
      </c>
      <c r="N36" t="inlineStr"/>
      <c r="O36" t="inlineStr"/>
      <c r="P36" t="inlineStr"/>
      <c r="Q36" t="inlineStr"/>
      <c r="R36" t="inlineStr"/>
      <c r="S36" t="inlineStr"/>
      <c r="T36" s="9" t="inlineStr"/>
      <c r="U36" t="inlineStr"/>
      <c r="V36" t="inlineStr"/>
      <c r="W36" s="9" t="inlineStr"/>
      <c r="X36" s="9" t="inlineStr"/>
      <c r="Y36">
        <f>SI(Y(W36&lt;&gt;"";X36="");HOY()-W36;SI(Y(W36&lt;&gt;"";X36&lt;&gt;"");X36-W36;""))</f>
        <v/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>
        <f>SI(N36="Cumple";Config!$B$9;SI(N36="Cumple parcialmente";Config!$B$10;SI(N36="No cumple";Config!$B$11;SI(N36="En proceso de regularización";Config!$B$12;SI(N36="No aplica";"NA";"PEND")))))</f>
        <v/>
      </c>
      <c r="AI36">
        <f>SI(AH36="NA";"NA";SI(AH36="PEND";"PEND";AH36*100))</f>
        <v/>
      </c>
      <c r="AJ36" t="inlineStr">
        <is>
          <t>Obligación contenida en el Plan de Manejo</t>
        </is>
      </c>
      <c r="AK36" t="inlineStr">
        <is>
          <t>Derivado del Plan de Manejo</t>
        </is>
      </c>
    </row>
    <row r="37">
      <c r="A37" t="inlineStr">
        <is>
          <t>REQ-036</t>
        </is>
      </c>
      <c r="B37" t="inlineStr">
        <is>
          <t>Protección del suelo</t>
        </is>
      </c>
      <c r="C37" t="inlineStr">
        <is>
          <t>Contaminación</t>
        </is>
      </c>
      <c r="D37" t="inlineStr">
        <is>
          <t>Operación</t>
        </is>
      </c>
      <c r="E37" t="inlineStr">
        <is>
          <t>Instalación completa</t>
        </is>
      </c>
      <c r="F37" t="inlineStr">
        <is>
          <t>Ausencia de manchas, derrames o contaminación</t>
        </is>
      </c>
      <c r="G37" t="inlineStr">
        <is>
          <t>Sin evidencia de contaminación de suelo</t>
        </is>
      </c>
      <c r="H37" t="inlineStr">
        <is>
          <t>Plan de Manejo Ambiental Específico para Instalación de Faenas Río Ventisquero, Rev. 1</t>
        </is>
      </c>
      <c r="I37" t="inlineStr">
        <is>
          <t>Plan de Manejo Ambiental Específico para Instalación de Faenas Río Ventisquero, Rev. 1</t>
        </is>
      </c>
      <c r="J37" t="inlineStr">
        <is>
          <t>Semanal</t>
        </is>
      </c>
      <c r="K37" t="inlineStr">
        <is>
          <t>Sin manchas ni olores anómalos</t>
        </is>
      </c>
      <c r="L37" t="inlineStr">
        <is>
          <t>Inspección visual</t>
        </is>
      </c>
      <c r="M37" t="inlineStr">
        <is>
          <t>Suelo sin contaminación visible</t>
        </is>
      </c>
      <c r="N37" t="inlineStr"/>
      <c r="O37" t="inlineStr"/>
      <c r="P37" t="inlineStr"/>
      <c r="Q37" t="inlineStr"/>
      <c r="R37" t="inlineStr"/>
      <c r="S37" t="inlineStr"/>
      <c r="T37" s="9" t="inlineStr"/>
      <c r="U37" t="inlineStr"/>
      <c r="V37" t="inlineStr"/>
      <c r="W37" s="9" t="inlineStr"/>
      <c r="X37" s="9" t="inlineStr"/>
      <c r="Y37">
        <f>SI(Y(W37&lt;&gt;"";X37="");HOY()-W37;SI(Y(W37&lt;&gt;"";X37&lt;&gt;"");X37-W37;""))</f>
        <v/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>
        <f>SI(N37="Cumple";Config!$B$9;SI(N37="Cumple parcialmente";Config!$B$10;SI(N37="No cumple";Config!$B$11;SI(N37="En proceso de regularización";Config!$B$12;SI(N37="No aplica";"NA";"PEND")))))</f>
        <v/>
      </c>
      <c r="AI37">
        <f>SI(AH37="NA";"NA";SI(AH37="PEND";"PEND";AH37*100))</f>
        <v/>
      </c>
      <c r="AJ37" t="inlineStr">
        <is>
          <t>Obligación contenida en el Plan de Manejo</t>
        </is>
      </c>
      <c r="AK37" t="inlineStr">
        <is>
          <t>Expreso en el Plan de Manejo</t>
        </is>
      </c>
    </row>
    <row r="38">
      <c r="A38" t="inlineStr">
        <is>
          <t>REQ-037</t>
        </is>
      </c>
      <c r="B38" t="inlineStr">
        <is>
          <t>Derrames y contingencias</t>
        </is>
      </c>
      <c r="C38" t="inlineStr">
        <is>
          <t>Procedimiento</t>
        </is>
      </c>
      <c r="D38" t="inlineStr">
        <is>
          <t>Operación</t>
        </is>
      </c>
      <c r="E38" t="inlineStr">
        <is>
          <t>Instalación completa</t>
        </is>
      </c>
      <c r="F38" t="inlineStr">
        <is>
          <t>Aplicación procedimiento de contingencias</t>
        </is>
      </c>
      <c r="G38" t="inlineStr">
        <is>
          <t>Procedimiento conocido y aplicable</t>
        </is>
      </c>
      <c r="H38" t="inlineStr">
        <is>
          <t>Plan de Manejo Ambiental Específico para Instalación de Faenas Río Ventisquero, Rev. 1</t>
        </is>
      </c>
      <c r="I38" t="inlineStr">
        <is>
          <t>Plan de Manejo Ambiental Específico para Instalación de Faenas Río Ventisquero, Rev. 1</t>
        </is>
      </c>
      <c r="J38" t="inlineStr">
        <is>
          <t>Mensual</t>
        </is>
      </c>
      <c r="K38" t="inlineStr">
        <is>
          <t>Procedimiento disponible y difundido</t>
        </is>
      </c>
      <c r="L38" t="inlineStr">
        <is>
          <t>Revisión documental e inducción</t>
        </is>
      </c>
      <c r="M38" t="inlineStr">
        <is>
          <t>Procedimiento operativo</t>
        </is>
      </c>
      <c r="N38" t="inlineStr"/>
      <c r="O38" t="inlineStr"/>
      <c r="P38" t="inlineStr"/>
      <c r="Q38" t="inlineStr"/>
      <c r="R38" t="inlineStr"/>
      <c r="S38" t="inlineStr"/>
      <c r="T38" s="9" t="inlineStr"/>
      <c r="U38" t="inlineStr"/>
      <c r="V38" t="inlineStr"/>
      <c r="W38" s="9" t="inlineStr"/>
      <c r="X38" s="9" t="inlineStr"/>
      <c r="Y38">
        <f>SI(Y(W38&lt;&gt;"";X38="");HOY()-W38;SI(Y(W38&lt;&gt;"";X38&lt;&gt;"");X38-W38;""))</f>
        <v/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>
        <f>SI(N38="Cumple";Config!$B$9;SI(N38="Cumple parcialmente";Config!$B$10;SI(N38="No cumple";Config!$B$11;SI(N38="En proceso de regularización";Config!$B$12;SI(N38="No aplica";"NA";"PEND")))))</f>
        <v/>
      </c>
      <c r="AI38">
        <f>SI(AH38="NA";"NA";SI(AH38="PEND";"PEND";AH38*100))</f>
        <v/>
      </c>
      <c r="AJ38" t="inlineStr">
        <is>
          <t>Obligación contenida en el Plan de Manejo</t>
        </is>
      </c>
      <c r="AK38" t="inlineStr">
        <is>
          <t>Expreso en el Plan de Manejo</t>
        </is>
      </c>
    </row>
    <row r="39">
      <c r="A39" t="inlineStr">
        <is>
          <t>REQ-038</t>
        </is>
      </c>
      <c r="B39" t="inlineStr">
        <is>
          <t>Derrames y contingencias</t>
        </is>
      </c>
      <c r="C39" t="inlineStr">
        <is>
          <t>Incidentes</t>
        </is>
      </c>
      <c r="D39" t="inlineStr">
        <is>
          <t>Operación</t>
        </is>
      </c>
      <c r="E39" t="inlineStr">
        <is>
          <t>Instalación completa</t>
        </is>
      </c>
      <c r="F39" t="inlineStr">
        <is>
          <t>Registro de incidentes ambientales</t>
        </is>
      </c>
      <c r="G39" t="inlineStr">
        <is>
          <t>Registro y reporte de incidentes</t>
        </is>
      </c>
      <c r="H39" t="inlineStr">
        <is>
          <t>Plan de Manejo Ambiental Específico para Instalación de Faenas Río Ventisquero, Rev. 1</t>
        </is>
      </c>
      <c r="I39" t="inlineStr">
        <is>
          <t>Ley 19.300 / RCA si aplica</t>
        </is>
      </c>
      <c r="J39" t="inlineStr">
        <is>
          <t>Mensual</t>
        </is>
      </c>
      <c r="K39" t="inlineStr">
        <is>
          <t>Registro actualizado</t>
        </is>
      </c>
      <c r="L39" t="inlineStr">
        <is>
          <t>Revisión de registros</t>
        </is>
      </c>
      <c r="M39" t="inlineStr">
        <is>
          <t>Incidentes registrados y gestionados</t>
        </is>
      </c>
      <c r="N39" t="inlineStr"/>
      <c r="O39" t="inlineStr"/>
      <c r="P39" t="inlineStr"/>
      <c r="Q39" t="inlineStr"/>
      <c r="R39" t="inlineStr"/>
      <c r="S39" t="inlineStr"/>
      <c r="T39" s="9" t="inlineStr"/>
      <c r="U39" t="inlineStr"/>
      <c r="V39" t="inlineStr"/>
      <c r="W39" s="9" t="inlineStr"/>
      <c r="X39" s="9" t="inlineStr"/>
      <c r="Y39">
        <f>SI(Y(W39&lt;&gt;"";X39="");HOY()-W39;SI(Y(W39&lt;&gt;"";X39&lt;&gt;"");X39-W39;""))</f>
        <v/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>
        <f>SI(N39="Cumple";Config!$B$9;SI(N39="Cumple parcialmente";Config!$B$10;SI(N39="No cumple";Config!$B$11;SI(N39="En proceso de regularización";Config!$B$12;SI(N39="No aplica";"NA";"PEND")))))</f>
        <v/>
      </c>
      <c r="AI39">
        <f>SI(AH39="NA";"NA";SI(AH39="PEND";"PEND";AH39*100))</f>
        <v/>
      </c>
      <c r="AJ39" t="inlineStr">
        <is>
          <t>Exigencia legal o reglamentaria</t>
        </is>
      </c>
      <c r="AK39" t="inlineStr">
        <is>
          <t>Norma o permiso aplicable</t>
        </is>
      </c>
    </row>
    <row r="40">
      <c r="A40" t="inlineStr">
        <is>
          <t>REQ-039</t>
        </is>
      </c>
      <c r="B40" t="inlineStr">
        <is>
          <t>Agua potable</t>
        </is>
      </c>
      <c r="C40" t="inlineStr">
        <is>
          <t>Estanques</t>
        </is>
      </c>
      <c r="D40" t="inlineStr">
        <is>
          <t>Operación</t>
        </is>
      </c>
      <c r="E40" t="inlineStr">
        <is>
          <t>Sistema AP</t>
        </is>
      </c>
      <c r="F40" t="inlineStr">
        <is>
          <t>Condiciones de estanques de agua potable</t>
        </is>
      </c>
      <c r="G40" t="inlineStr">
        <is>
          <t>Estanques limpios, protegidos y señalizados</t>
        </is>
      </c>
      <c r="H40" t="inlineStr">
        <is>
          <t>Plan de Manejo Ambiental Específico para Instalación de Faenas Río Ventisquero, Rev. 1</t>
        </is>
      </c>
      <c r="I40" t="inlineStr">
        <is>
          <t>DS 594</t>
        </is>
      </c>
      <c r="J40" t="inlineStr">
        <is>
          <t>Mensual</t>
        </is>
      </c>
      <c r="K40" t="inlineStr">
        <is>
          <t>Estanques conformes</t>
        </is>
      </c>
      <c r="L40" t="inlineStr">
        <is>
          <t>Inspección visual</t>
        </is>
      </c>
      <c r="M40" t="inlineStr">
        <is>
          <t>Estanques en buen estado</t>
        </is>
      </c>
      <c r="N40" t="inlineStr"/>
      <c r="O40" t="inlineStr"/>
      <c r="P40" t="inlineStr"/>
      <c r="Q40" t="inlineStr"/>
      <c r="R40" t="inlineStr"/>
      <c r="S40" t="inlineStr"/>
      <c r="T40" s="9" t="inlineStr"/>
      <c r="U40" t="inlineStr"/>
      <c r="V40" t="inlineStr"/>
      <c r="W40" s="9" t="inlineStr"/>
      <c r="X40" s="9" t="inlineStr"/>
      <c r="Y40">
        <f>SI(Y(W40&lt;&gt;"";X40="");HOY()-W40;SI(Y(W40&lt;&gt;"";X40&lt;&gt;"");X40-W40;""))</f>
        <v/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>
        <f>SI(N40="Cumple";Config!$B$9;SI(N40="Cumple parcialmente";Config!$B$10;SI(N40="No cumple";Config!$B$11;SI(N40="En proceso de regularización";Config!$B$12;SI(N40="No aplica";"NA";"PEND")))))</f>
        <v/>
      </c>
      <c r="AI40">
        <f>SI(AH40="NA";"NA";SI(AH40="PEND";"PEND";AH40*100))</f>
        <v/>
      </c>
      <c r="AJ40" t="inlineStr">
        <is>
          <t>Obligación contenida en el Plan de Manejo</t>
        </is>
      </c>
      <c r="AK40" t="inlineStr">
        <is>
          <t>Expreso en el Plan de Manejo</t>
        </is>
      </c>
    </row>
    <row r="41">
      <c r="A41" t="inlineStr">
        <is>
          <t>REQ-040</t>
        </is>
      </c>
      <c r="B41" t="inlineStr">
        <is>
          <t>Agua potable</t>
        </is>
      </c>
      <c r="C41" t="inlineStr">
        <is>
          <t>Cloración</t>
        </is>
      </c>
      <c r="D41" t="inlineStr">
        <is>
          <t>Operación</t>
        </is>
      </c>
      <c r="E41" t="inlineStr">
        <is>
          <t>Sistema AP</t>
        </is>
      </c>
      <c r="F41" t="inlineStr">
        <is>
          <t>Funcionamiento del sistema de cloración</t>
        </is>
      </c>
      <c r="G41" t="inlineStr">
        <is>
          <t>Cloración operativa según procedimiento</t>
        </is>
      </c>
      <c r="H41" t="inlineStr">
        <is>
          <t>Plan de Manejo Ambiental Específico para Instalación de Faenas Río Ventisquero, Rev. 1</t>
        </is>
      </c>
      <c r="I41" t="inlineStr">
        <is>
          <t>DS 594</t>
        </is>
      </c>
      <c r="J41" t="inlineStr">
        <is>
          <t>Semanal</t>
        </is>
      </c>
      <c r="K41" t="inlineStr">
        <is>
          <t>Sistema operativo</t>
        </is>
      </c>
      <c r="L41" t="inlineStr">
        <is>
          <t>Inspección y registro</t>
        </is>
      </c>
      <c r="M41" t="inlineStr">
        <is>
          <t>Cloración activa</t>
        </is>
      </c>
      <c r="N41" t="inlineStr"/>
      <c r="O41" t="inlineStr"/>
      <c r="P41" t="inlineStr"/>
      <c r="Q41" t="inlineStr"/>
      <c r="R41" t="inlineStr"/>
      <c r="S41" t="inlineStr"/>
      <c r="T41" s="9" t="inlineStr"/>
      <c r="U41" t="inlineStr"/>
      <c r="V41" t="inlineStr"/>
      <c r="W41" s="9" t="inlineStr"/>
      <c r="X41" s="9" t="inlineStr"/>
      <c r="Y41">
        <f>SI(Y(W41&lt;&gt;"";X41="");HOY()-W41;SI(Y(W41&lt;&gt;"";X41&lt;&gt;"");X41-W41;""))</f>
        <v/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>
        <f>SI(N41="Cumple";Config!$B$9;SI(N41="Cumple parcialmente";Config!$B$10;SI(N41="No cumple";Config!$B$11;SI(N41="En proceso de regularización";Config!$B$12;SI(N41="No aplica";"NA";"PEND")))))</f>
        <v/>
      </c>
      <c r="AI41">
        <f>SI(AH41="NA";"NA";SI(AH41="PEND";"PEND";AH41*100))</f>
        <v/>
      </c>
      <c r="AJ41" t="inlineStr">
        <is>
          <t>Obligación contenida en el Plan de Manejo</t>
        </is>
      </c>
      <c r="AK41" t="inlineStr">
        <is>
          <t>Expreso en el Plan de Manejo</t>
        </is>
      </c>
    </row>
    <row r="42">
      <c r="A42" t="inlineStr">
        <is>
          <t>REQ-041</t>
        </is>
      </c>
      <c r="B42" t="inlineStr">
        <is>
          <t>Agua potable</t>
        </is>
      </c>
      <c r="C42" t="inlineStr">
        <is>
          <t>Análisis</t>
        </is>
      </c>
      <c r="D42" t="inlineStr">
        <is>
          <t>Operación</t>
        </is>
      </c>
      <c r="E42" t="inlineStr">
        <is>
          <t>Sistema AP</t>
        </is>
      </c>
      <c r="F42" t="inlineStr">
        <is>
          <t>Resultados de análisis de agua potable</t>
        </is>
      </c>
      <c r="G42" t="inlineStr">
        <is>
          <t>Análisis según frecuencia definida</t>
        </is>
      </c>
      <c r="H42" t="inlineStr">
        <is>
          <t>Plan de Manejo Ambiental Específico para Instalación de Faenas Río Ventisquero, Rev. 1</t>
        </is>
      </c>
      <c r="I42" t="inlineStr">
        <is>
          <t>DS 594</t>
        </is>
      </c>
      <c r="J42" t="inlineStr">
        <is>
          <t>Mensual</t>
        </is>
      </c>
      <c r="K42" t="inlineStr">
        <is>
          <t>Análisis vigentes conformes</t>
        </is>
      </c>
      <c r="L42" t="inlineStr">
        <is>
          <t>Revisión de informes de laboratorio</t>
        </is>
      </c>
      <c r="M42" t="inlineStr">
        <is>
          <t>Resultados conformes</t>
        </is>
      </c>
      <c r="N42" t="inlineStr"/>
      <c r="O42" t="inlineStr"/>
      <c r="P42" t="inlineStr"/>
      <c r="Q42" t="inlineStr"/>
      <c r="R42" t="inlineStr"/>
      <c r="S42" t="inlineStr"/>
      <c r="T42" s="9" t="inlineStr"/>
      <c r="U42" t="inlineStr"/>
      <c r="V42" t="inlineStr"/>
      <c r="W42" s="9" t="inlineStr"/>
      <c r="X42" s="9" t="inlineStr"/>
      <c r="Y42">
        <f>SI(Y(W42&lt;&gt;"";X42="");HOY()-W42;SI(Y(W42&lt;&gt;"";X42&lt;&gt;"");X42-W42;""))</f>
        <v/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>
        <f>SI(N42="Cumple";Config!$B$9;SI(N42="Cumple parcialmente";Config!$B$10;SI(N42="No cumple";Config!$B$11;SI(N42="En proceso de regularización";Config!$B$12;SI(N42="No aplica";"NA";"PEND")))))</f>
        <v/>
      </c>
      <c r="AI42">
        <f>SI(AH42="NA";"NA";SI(AH42="PEND";"PEND";AH42*100))</f>
        <v/>
      </c>
      <c r="AJ42" t="inlineStr">
        <is>
          <t>Exigencia legal o reglamentaria</t>
        </is>
      </c>
      <c r="AK42" t="inlineStr">
        <is>
          <t>Norma o permiso aplicable</t>
        </is>
      </c>
    </row>
    <row r="43">
      <c r="A43" t="inlineStr">
        <is>
          <t>REQ-042</t>
        </is>
      </c>
      <c r="B43" t="inlineStr">
        <is>
          <t>Fosas sépticas</t>
        </is>
      </c>
      <c r="C43" t="inlineStr">
        <is>
          <t>Mantención</t>
        </is>
      </c>
      <c r="D43" t="inlineStr">
        <is>
          <t>Operación</t>
        </is>
      </c>
      <c r="E43" t="inlineStr">
        <is>
          <t>Sanitarios</t>
        </is>
      </c>
      <c r="F43" t="inlineStr">
        <is>
          <t>Limpieza y mantención de fosas sépticas</t>
        </is>
      </c>
      <c r="G43" t="inlineStr">
        <is>
          <t>Limpieza mensual registrada</t>
        </is>
      </c>
      <c r="H43" t="inlineStr">
        <is>
          <t>Plan de Manejo Ambiental Específico para Instalación de Faenas Río Ventisquero, Rev. 1</t>
        </is>
      </c>
      <c r="I43" t="inlineStr">
        <is>
          <t>Plan de Manejo Ambiental Específico para Instalación de Faenas Río Ventisquero, Rev. 1</t>
        </is>
      </c>
      <c r="J43" t="inlineStr">
        <is>
          <t>Mensual</t>
        </is>
      </c>
      <c r="K43" t="inlineStr">
        <is>
          <t>Registro de limpieza mensual</t>
        </is>
      </c>
      <c r="L43" t="inlineStr">
        <is>
          <t>Revisión de certificados</t>
        </is>
      </c>
      <c r="M43" t="inlineStr">
        <is>
          <t>Limpieza al día</t>
        </is>
      </c>
      <c r="N43" t="inlineStr"/>
      <c r="O43" t="inlineStr"/>
      <c r="P43" t="inlineStr"/>
      <c r="Q43" t="inlineStr"/>
      <c r="R43" t="inlineStr"/>
      <c r="S43" t="inlineStr"/>
      <c r="T43" s="9" t="inlineStr"/>
      <c r="U43" t="inlineStr"/>
      <c r="V43" t="inlineStr"/>
      <c r="W43" s="9" t="inlineStr"/>
      <c r="X43" s="9" t="inlineStr"/>
      <c r="Y43">
        <f>SI(Y(W43&lt;&gt;"";X43="");HOY()-W43;SI(Y(W43&lt;&gt;"";X43&lt;&gt;"");X43-W43;""))</f>
        <v/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>
        <f>SI(N43="Cumple";Config!$B$9;SI(N43="Cumple parcialmente";Config!$B$10;SI(N43="No cumple";Config!$B$11;SI(N43="En proceso de regularización";Config!$B$12;SI(N43="No aplica";"NA";"PEND")))))</f>
        <v/>
      </c>
      <c r="AI43">
        <f>SI(AH43="NA";"NA";SI(AH43="PEND";"PEND";AH43*100))</f>
        <v/>
      </c>
      <c r="AJ43" t="inlineStr">
        <is>
          <t>Obligación contenida en el Plan de Manejo</t>
        </is>
      </c>
      <c r="AK43" t="inlineStr">
        <is>
          <t>Expreso en el Plan de Manejo</t>
        </is>
      </c>
    </row>
    <row r="44">
      <c r="A44" t="inlineStr">
        <is>
          <t>REQ-043</t>
        </is>
      </c>
      <c r="B44" t="inlineStr">
        <is>
          <t>Baños químicos</t>
        </is>
      </c>
      <c r="C44" t="inlineStr">
        <is>
          <t>Limpieza</t>
        </is>
      </c>
      <c r="D44" t="inlineStr">
        <is>
          <t>Operación</t>
        </is>
      </c>
      <c r="E44" t="inlineStr">
        <is>
          <t>Sanitarios</t>
        </is>
      </c>
      <c r="F44" t="inlineStr">
        <is>
          <t>Limpieza semanal de baños químicos</t>
        </is>
      </c>
      <c r="G44" t="inlineStr">
        <is>
          <t>Limpieza semanal con registro</t>
        </is>
      </c>
      <c r="H44" t="inlineStr">
        <is>
          <t>Plan de Manejo Ambiental Específico para Instalación de Faenas Río Ventisquero, Rev. 1</t>
        </is>
      </c>
      <c r="I44" t="inlineStr">
        <is>
          <t>Plan de Manejo Ambiental Específico para Instalación de Faenas Río Ventisquero, Rev. 1</t>
        </is>
      </c>
      <c r="J44" t="inlineStr">
        <is>
          <t>Semanal</t>
        </is>
      </c>
      <c r="K44" t="inlineStr">
        <is>
          <t>Registro semanal completo</t>
        </is>
      </c>
      <c r="L44" t="inlineStr">
        <is>
          <t>Revisión de registros</t>
        </is>
      </c>
      <c r="M44" t="inlineStr">
        <is>
          <t>Limpieza semanal cumplida</t>
        </is>
      </c>
      <c r="N44" t="inlineStr"/>
      <c r="O44" t="inlineStr"/>
      <c r="P44" t="inlineStr"/>
      <c r="Q44" t="inlineStr"/>
      <c r="R44" t="inlineStr"/>
      <c r="S44" t="inlineStr"/>
      <c r="T44" s="9" t="inlineStr"/>
      <c r="U44" t="inlineStr"/>
      <c r="V44" t="inlineStr"/>
      <c r="W44" s="9" t="inlineStr"/>
      <c r="X44" s="9" t="inlineStr"/>
      <c r="Y44">
        <f>SI(Y(W44&lt;&gt;"";X44="");HOY()-W44;SI(Y(W44&lt;&gt;"";X44&lt;&gt;"");X44-W44;""))</f>
        <v/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>
        <f>SI(N44="Cumple";Config!$B$9;SI(N44="Cumple parcialmente";Config!$B$10;SI(N44="No cumple";Config!$B$11;SI(N44="En proceso de regularización";Config!$B$12;SI(N44="No aplica";"NA";"PEND")))))</f>
        <v/>
      </c>
      <c r="AI44">
        <f>SI(AH44="NA";"NA";SI(AH44="PEND";"PEND";AH44*100))</f>
        <v/>
      </c>
      <c r="AJ44" t="inlineStr">
        <is>
          <t>Obligación contenida en el Plan de Manejo</t>
        </is>
      </c>
      <c r="AK44" t="inlineStr">
        <is>
          <t>Expreso en el Plan de Manejo</t>
        </is>
      </c>
    </row>
    <row r="45">
      <c r="A45" t="inlineStr">
        <is>
          <t>REQ-044</t>
        </is>
      </c>
      <c r="B45" t="inlineStr">
        <is>
          <t>Protección del agua</t>
        </is>
      </c>
      <c r="C45" t="inlineStr">
        <is>
          <t>Desgrasadoras</t>
        </is>
      </c>
      <c r="D45" t="inlineStr">
        <is>
          <t>Operación</t>
        </is>
      </c>
      <c r="E45" t="inlineStr">
        <is>
          <t>Comedor/taller</t>
        </is>
      </c>
      <c r="F45" t="inlineStr">
        <is>
          <t>Condiciones de cámaras desgrasadoras</t>
        </is>
      </c>
      <c r="G45" t="inlineStr">
        <is>
          <t>Cámaras operativas y mantenidas</t>
        </is>
      </c>
      <c r="H45" t="inlineStr">
        <is>
          <t>Plan de Manejo Ambiental Específico para Instalación de Faenas Río Ventisquero, Rev. 1</t>
        </is>
      </c>
      <c r="I45" t="inlineStr">
        <is>
          <t>Plan de Manejo Ambiental Específico para Instalación de Faenas Río Ventisquero, Rev. 1</t>
        </is>
      </c>
      <c r="J45" t="inlineStr">
        <is>
          <t>Mensual</t>
        </is>
      </c>
      <c r="K45" t="inlineStr">
        <is>
          <t>Cámaras limpias y funcionales</t>
        </is>
      </c>
      <c r="L45" t="inlineStr">
        <is>
          <t>Inspección visual</t>
        </is>
      </c>
      <c r="M45" t="inlineStr">
        <is>
          <t>Desgrasadoras conformes</t>
        </is>
      </c>
      <c r="N45" t="inlineStr"/>
      <c r="O45" t="inlineStr"/>
      <c r="P45" t="inlineStr"/>
      <c r="Q45" t="inlineStr"/>
      <c r="R45" t="inlineStr"/>
      <c r="S45" t="inlineStr"/>
      <c r="T45" s="9" t="inlineStr"/>
      <c r="U45" t="inlineStr"/>
      <c r="V45" t="inlineStr"/>
      <c r="W45" s="9" t="inlineStr"/>
      <c r="X45" s="9" t="inlineStr"/>
      <c r="Y45">
        <f>SI(Y(W45&lt;&gt;"";X45="");HOY()-W45;SI(Y(W45&lt;&gt;"";X45&lt;&gt;"");X45-W45;""))</f>
        <v/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>
        <f>SI(N45="Cumple";Config!$B$9;SI(N45="Cumple parcialmente";Config!$B$10;SI(N45="No cumple";Config!$B$11;SI(N45="En proceso de regularización";Config!$B$12;SI(N45="No aplica";"NA";"PEND")))))</f>
        <v/>
      </c>
      <c r="AI45">
        <f>SI(AH45="NA";"NA";SI(AH45="PEND";"PEND";AH45*100))</f>
        <v/>
      </c>
      <c r="AJ45" t="inlineStr">
        <is>
          <t>Obligación contenida en el Plan de Manejo</t>
        </is>
      </c>
      <c r="AK45" t="inlineStr">
        <is>
          <t>Derivado del Plan de Manejo</t>
        </is>
      </c>
    </row>
    <row r="46">
      <c r="A46" t="inlineStr">
        <is>
          <t>REQ-045</t>
        </is>
      </c>
      <c r="B46" t="inlineStr">
        <is>
          <t>Protección del agua</t>
        </is>
      </c>
      <c r="C46" t="inlineStr">
        <is>
          <t>Descargas</t>
        </is>
      </c>
      <c r="D46" t="inlineStr">
        <is>
          <t>Operación</t>
        </is>
      </c>
      <c r="E46" t="inlineStr">
        <is>
          <t>Instalación completa</t>
        </is>
      </c>
      <c r="F46" t="inlineStr">
        <is>
          <t>Ausencia de descargas no autorizadas</t>
        </is>
      </c>
      <c r="G46" t="inlineStr">
        <is>
          <t>Sin vertidos fuera de sistemas autorizados</t>
        </is>
      </c>
      <c r="H46" t="inlineStr">
        <is>
          <t>Plan de Manejo Ambiental Específico para Instalación de Faenas Río Ventisquero, Rev. 1</t>
        </is>
      </c>
      <c r="I46" t="inlineStr">
        <is>
          <t>Ley 19.300 / Código de Aguas</t>
        </is>
      </c>
      <c r="J46" t="inlineStr">
        <is>
          <t>Semanal</t>
        </is>
      </c>
      <c r="K46" t="inlineStr">
        <is>
          <t>Sin descargas visibles</t>
        </is>
      </c>
      <c r="L46" t="inlineStr">
        <is>
          <t>Inspección visual</t>
        </is>
      </c>
      <c r="M46" t="inlineStr">
        <is>
          <t>Sin descargas no autorizadas</t>
        </is>
      </c>
      <c r="N46" t="inlineStr"/>
      <c r="O46" t="inlineStr"/>
      <c r="P46" t="inlineStr"/>
      <c r="Q46" t="inlineStr"/>
      <c r="R46" t="inlineStr"/>
      <c r="S46" t="inlineStr"/>
      <c r="T46" s="9" t="inlineStr"/>
      <c r="U46" t="inlineStr"/>
      <c r="V46" t="inlineStr"/>
      <c r="W46" s="9" t="inlineStr"/>
      <c r="X46" s="9" t="inlineStr"/>
      <c r="Y46">
        <f>SI(Y(W46&lt;&gt;"";X46="");HOY()-W46;SI(Y(W46&lt;&gt;"";X46&lt;&gt;"");X46-W46;""))</f>
        <v/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>
        <f>SI(N46="Cumple";Config!$B$9;SI(N46="Cumple parcialmente";Config!$B$10;SI(N46="No cumple";Config!$B$11;SI(N46="En proceso de regularización";Config!$B$12;SI(N46="No aplica";"NA";"PEND")))))</f>
        <v/>
      </c>
      <c r="AI46">
        <f>SI(AH46="NA";"NA";SI(AH46="PEND";"PEND";AH46*100))</f>
        <v/>
      </c>
      <c r="AJ46" t="inlineStr">
        <is>
          <t>Exigencia legal o reglamentaria</t>
        </is>
      </c>
      <c r="AK46" t="inlineStr">
        <is>
          <t>Norma o permiso aplicable</t>
        </is>
      </c>
    </row>
    <row r="47">
      <c r="A47" t="inlineStr">
        <is>
          <t>REQ-046</t>
        </is>
      </c>
      <c r="B47" t="inlineStr">
        <is>
          <t>Río Ventisquero</t>
        </is>
      </c>
      <c r="C47" t="inlineStr">
        <is>
          <t>Prohibiciones</t>
        </is>
      </c>
      <c r="D47" t="inlineStr">
        <is>
          <t>Operación</t>
        </is>
      </c>
      <c r="E47" t="inlineStr">
        <is>
          <t>Perímetro río</t>
        </is>
      </c>
      <c r="F47" t="inlineStr">
        <is>
          <t>Prohibición lavado de camiones/maquinaria cerca del río</t>
        </is>
      </c>
      <c r="G47" t="inlineStr">
        <is>
          <t>Sin lavado en sector río</t>
        </is>
      </c>
      <c r="H47" t="inlineStr">
        <is>
          <t>Plan de Manejo Ambiental Específico para Instalación de Faenas Río Ventisquero, Rev. 1</t>
        </is>
      </c>
      <c r="I47" t="inlineStr">
        <is>
          <t>Plan de Manejo Ambiental Específico para Instalación de Faenas Río Ventisquero, Rev. 1</t>
        </is>
      </c>
      <c r="J47" t="inlineStr">
        <is>
          <t>Semanal</t>
        </is>
      </c>
      <c r="K47" t="inlineStr">
        <is>
          <t>Sin lavado en sector</t>
        </is>
      </c>
      <c r="L47" t="inlineStr">
        <is>
          <t>Inspección visual</t>
        </is>
      </c>
      <c r="M47" t="inlineStr">
        <is>
          <t>Prohibición cumplida</t>
        </is>
      </c>
      <c r="N47" t="inlineStr"/>
      <c r="O47" t="inlineStr"/>
      <c r="P47" t="inlineStr"/>
      <c r="Q47" t="inlineStr"/>
      <c r="R47" t="inlineStr"/>
      <c r="S47" t="inlineStr"/>
      <c r="T47" s="9" t="inlineStr"/>
      <c r="U47" t="inlineStr"/>
      <c r="V47" t="inlineStr"/>
      <c r="W47" s="9" t="inlineStr"/>
      <c r="X47" s="9" t="inlineStr"/>
      <c r="Y47">
        <f>SI(Y(W47&lt;&gt;"";X47="");HOY()-W47;SI(Y(W47&lt;&gt;"";X47&lt;&gt;"");X47-W47;""))</f>
        <v/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>
        <f>SI(N47="Cumple";Config!$B$9;SI(N47="Cumple parcialmente";Config!$B$10;SI(N47="No cumple";Config!$B$11;SI(N47="En proceso de regularización";Config!$B$12;SI(N47="No aplica";"NA";"PEND")))))</f>
        <v/>
      </c>
      <c r="AI47">
        <f>SI(AH47="NA";"NA";SI(AH47="PEND";"PEND";AH47*100))</f>
        <v/>
      </c>
      <c r="AJ47" t="inlineStr">
        <is>
          <t>Obligación contenida en el Plan de Manejo</t>
        </is>
      </c>
      <c r="AK47" t="inlineStr">
        <is>
          <t>Expreso en el Plan de Manejo</t>
        </is>
      </c>
    </row>
    <row r="48">
      <c r="A48" t="inlineStr">
        <is>
          <t>REQ-047</t>
        </is>
      </c>
      <c r="B48" t="inlineStr">
        <is>
          <t>Río Ventisquero</t>
        </is>
      </c>
      <c r="C48" t="inlineStr">
        <is>
          <t>Residuos líquidos</t>
        </is>
      </c>
      <c r="D48" t="inlineStr">
        <is>
          <t>Operación</t>
        </is>
      </c>
      <c r="E48" t="inlineStr">
        <is>
          <t>Perímetro río</t>
        </is>
      </c>
      <c r="F48" t="inlineStr">
        <is>
          <t>Ausencia contacto residuos líquidos con cauces</t>
        </is>
      </c>
      <c r="G48" t="inlineStr">
        <is>
          <t>Sin contacto con cauce</t>
        </is>
      </c>
      <c r="H48" t="inlineStr">
        <is>
          <t>Plan de Manejo Ambiental Específico para Instalación de Faenas Río Ventisquero, Rev. 1</t>
        </is>
      </c>
      <c r="I48" t="inlineStr">
        <is>
          <t>Código de Aguas</t>
        </is>
      </c>
      <c r="J48" t="inlineStr">
        <is>
          <t>Semanal</t>
        </is>
      </c>
      <c r="K48" t="inlineStr">
        <is>
          <t>Sin contacto con cauce</t>
        </is>
      </c>
      <c r="L48" t="inlineStr">
        <is>
          <t>Inspección visual</t>
        </is>
      </c>
      <c r="M48" t="inlineStr">
        <is>
          <t>Protección del cauce</t>
        </is>
      </c>
      <c r="N48" t="inlineStr"/>
      <c r="O48" t="inlineStr"/>
      <c r="P48" t="inlineStr"/>
      <c r="Q48" t="inlineStr"/>
      <c r="R48" t="inlineStr"/>
      <c r="S48" t="inlineStr"/>
      <c r="T48" s="9" t="inlineStr"/>
      <c r="U48" t="inlineStr"/>
      <c r="V48" t="inlineStr"/>
      <c r="W48" s="9" t="inlineStr"/>
      <c r="X48" s="9" t="inlineStr"/>
      <c r="Y48">
        <f>SI(Y(W48&lt;&gt;"";X48="");HOY()-W48;SI(Y(W48&lt;&gt;"";X48&lt;&gt;"");X48-W48;""))</f>
        <v/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>
        <f>SI(N48="Cumple";Config!$B$9;SI(N48="Cumple parcialmente";Config!$B$10;SI(N48="No cumple";Config!$B$11;SI(N48="En proceso de regularización";Config!$B$12;SI(N48="No aplica";"NA";"PEND")))))</f>
        <v/>
      </c>
      <c r="AI48">
        <f>SI(AH48="NA";"NA";SI(AH48="PEND";"PEND";AH48*100))</f>
        <v/>
      </c>
      <c r="AJ48" t="inlineStr">
        <is>
          <t>Obligación contenida en el Plan de Manejo</t>
        </is>
      </c>
      <c r="AK48" t="inlineStr">
        <is>
          <t>Expreso en el Plan de Manejo</t>
        </is>
      </c>
    </row>
    <row r="49">
      <c r="A49" t="inlineStr">
        <is>
          <t>REQ-048</t>
        </is>
      </c>
      <c r="B49" t="inlineStr">
        <is>
          <t>Residuos domiciliarios y asimilables</t>
        </is>
      </c>
      <c r="C49" t="inlineStr">
        <is>
          <t>Contenedores</t>
        </is>
      </c>
      <c r="D49" t="inlineStr">
        <is>
          <t>Operación</t>
        </is>
      </c>
      <c r="E49" t="inlineStr">
        <is>
          <t>Sectores de residuos</t>
        </is>
      </c>
      <c r="F49" t="inlineStr">
        <is>
          <t>Contenedores herméticos con tapa</t>
        </is>
      </c>
      <c r="G49" t="inlineStr">
        <is>
          <t>Contenedores cerrados y en buen estado</t>
        </is>
      </c>
      <c r="H49" t="inlineStr">
        <is>
          <t>Plan de Manejo Ambiental Específico para Instalación de Faenas Río Ventisquero, Rev. 1</t>
        </is>
      </c>
      <c r="I49" t="inlineStr">
        <is>
          <t>Plan de Manejo Ambiental Específico para Instalación de Faenas Río Ventisquero, Rev. 1</t>
        </is>
      </c>
      <c r="J49" t="inlineStr">
        <is>
          <t>Semanal</t>
        </is>
      </c>
      <c r="K49" t="inlineStr">
        <is>
          <t>Contenedores conformes</t>
        </is>
      </c>
      <c r="L49" t="inlineStr">
        <is>
          <t>Inspección visual</t>
        </is>
      </c>
      <c r="M49" t="inlineStr">
        <is>
          <t>Contenedores operativos</t>
        </is>
      </c>
      <c r="N49" t="inlineStr"/>
      <c r="O49" t="inlineStr"/>
      <c r="P49" t="inlineStr"/>
      <c r="Q49" t="inlineStr"/>
      <c r="R49" t="inlineStr"/>
      <c r="S49" t="inlineStr"/>
      <c r="T49" s="9" t="inlineStr"/>
      <c r="U49" t="inlineStr"/>
      <c r="V49" t="inlineStr"/>
      <c r="W49" s="9" t="inlineStr"/>
      <c r="X49" s="9" t="inlineStr"/>
      <c r="Y49">
        <f>SI(Y(W49&lt;&gt;"";X49="");HOY()-W49;SI(Y(W49&lt;&gt;"";X49&lt;&gt;"");X49-W49;""))</f>
        <v/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>
        <f>SI(N49="Cumple";Config!$B$9;SI(N49="Cumple parcialmente";Config!$B$10;SI(N49="No cumple";Config!$B$11;SI(N49="En proceso de regularización";Config!$B$12;SI(N49="No aplica";"NA";"PEND")))))</f>
        <v/>
      </c>
      <c r="AI49">
        <f>SI(AH49="NA";"NA";SI(AH49="PEND";"PEND";AH49*100))</f>
        <v/>
      </c>
      <c r="AJ49" t="inlineStr">
        <is>
          <t>Obligación contenida en el Plan de Manejo</t>
        </is>
      </c>
      <c r="AK49" t="inlineStr">
        <is>
          <t>Expreso en el Plan de Manejo</t>
        </is>
      </c>
    </row>
    <row r="50">
      <c r="A50" t="inlineStr">
        <is>
          <t>REQ-049</t>
        </is>
      </c>
      <c r="B50" t="inlineStr">
        <is>
          <t>Segregación de residuos</t>
        </is>
      </c>
      <c r="C50" t="inlineStr">
        <is>
          <t>Rotulación</t>
        </is>
      </c>
      <c r="D50" t="inlineStr">
        <is>
          <t>Operación</t>
        </is>
      </c>
      <c r="E50" t="inlineStr">
        <is>
          <t>Puntos de segregación</t>
        </is>
      </c>
      <c r="F50" t="inlineStr">
        <is>
          <t>Rotulación y segregación de residuos</t>
        </is>
      </c>
      <c r="G50" t="inlineStr">
        <is>
          <t>Residuos segregados y rotulados</t>
        </is>
      </c>
      <c r="H50" t="inlineStr">
        <is>
          <t>Plan de Manejo Ambiental Específico para Instalación de Faenas Río Ventisquero, Rev. 1</t>
        </is>
      </c>
      <c r="I50" t="inlineStr">
        <is>
          <t>Plan de Manejo Ambiental Específico para Instalación de Faenas Río Ventisquero, Rev. 1</t>
        </is>
      </c>
      <c r="J50" t="inlineStr">
        <is>
          <t>Semanal</t>
        </is>
      </c>
      <c r="K50" t="inlineStr">
        <is>
          <t>Segregación visible</t>
        </is>
      </c>
      <c r="L50" t="inlineStr">
        <is>
          <t>Inspección visual</t>
        </is>
      </c>
      <c r="M50" t="inlineStr">
        <is>
          <t>Segregación conforme</t>
        </is>
      </c>
      <c r="N50" t="inlineStr"/>
      <c r="O50" t="inlineStr"/>
      <c r="P50" t="inlineStr"/>
      <c r="Q50" t="inlineStr"/>
      <c r="R50" t="inlineStr"/>
      <c r="S50" t="inlineStr"/>
      <c r="T50" s="9" t="inlineStr"/>
      <c r="U50" t="inlineStr"/>
      <c r="V50" t="inlineStr"/>
      <c r="W50" s="9" t="inlineStr"/>
      <c r="X50" s="9" t="inlineStr"/>
      <c r="Y50">
        <f>SI(Y(W50&lt;&gt;"";X50="");HOY()-W50;SI(Y(W50&lt;&gt;"";X50&lt;&gt;"");X50-W50;""))</f>
        <v/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>
        <f>SI(N50="Cumple";Config!$B$9;SI(N50="Cumple parcialmente";Config!$B$10;SI(N50="No cumple";Config!$B$11;SI(N50="En proceso de regularización";Config!$B$12;SI(N50="No aplica";"NA";"PEND")))))</f>
        <v/>
      </c>
      <c r="AI50">
        <f>SI(AH50="NA";"NA";SI(AH50="PEND";"PEND";AH50*100))</f>
        <v/>
      </c>
      <c r="AJ50" t="inlineStr">
        <is>
          <t>Obligación contenida en el Plan de Manejo</t>
        </is>
      </c>
      <c r="AK50" t="inlineStr">
        <is>
          <t>Expreso en el Plan de Manejo</t>
        </is>
      </c>
    </row>
    <row r="51">
      <c r="A51" t="inlineStr">
        <is>
          <t>REQ-050</t>
        </is>
      </c>
      <c r="B51" t="inlineStr">
        <is>
          <t>Residuos domiciliarios y asimilables</t>
        </is>
      </c>
      <c r="C51" t="inlineStr">
        <is>
          <t>Retiro</t>
        </is>
      </c>
      <c r="D51" t="inlineStr">
        <is>
          <t>Operación</t>
        </is>
      </c>
      <c r="E51" t="inlineStr">
        <is>
          <t>Sectores de residuos</t>
        </is>
      </c>
      <c r="F51" t="inlineStr">
        <is>
          <t>Frecuencia de retiro de residuos domiciliarios</t>
        </is>
      </c>
      <c r="G51" t="inlineStr">
        <is>
          <t>Retiro según frecuencia definida</t>
        </is>
      </c>
      <c r="H51" t="inlineStr">
        <is>
          <t>Plan de Manejo Ambiental Específico para Instalación de Faenas Río Ventisquero, Rev. 1</t>
        </is>
      </c>
      <c r="I51" t="inlineStr">
        <is>
          <t>Plan de Manejo Ambiental Específico para Instalación de Faenas Río Ventisquero, Rev. 1</t>
        </is>
      </c>
      <c r="J51" t="inlineStr">
        <is>
          <t>Mensual</t>
        </is>
      </c>
      <c r="K51" t="inlineStr">
        <is>
          <t>Retiros registrados</t>
        </is>
      </c>
      <c r="L51" t="inlineStr">
        <is>
          <t>Revisión de registros</t>
        </is>
      </c>
      <c r="M51" t="inlineStr">
        <is>
          <t>Frecuencia cumplida</t>
        </is>
      </c>
      <c r="N51" t="inlineStr"/>
      <c r="O51" t="inlineStr"/>
      <c r="P51" t="inlineStr"/>
      <c r="Q51" t="inlineStr"/>
      <c r="R51" t="inlineStr"/>
      <c r="S51" t="inlineStr"/>
      <c r="T51" s="9" t="inlineStr"/>
      <c r="U51" t="inlineStr"/>
      <c r="V51" t="inlineStr"/>
      <c r="W51" s="9" t="inlineStr"/>
      <c r="X51" s="9" t="inlineStr"/>
      <c r="Y51">
        <f>SI(Y(W51&lt;&gt;"";X51="");HOY()-W51;SI(Y(W51&lt;&gt;"";X51&lt;&gt;"");X51-W51;""))</f>
        <v/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>
        <f>SI(N51="Cumple";Config!$B$9;SI(N51="Cumple parcialmente";Config!$B$10;SI(N51="No cumple";Config!$B$11;SI(N51="En proceso de regularización";Config!$B$12;SI(N51="No aplica";"NA";"PEND")))))</f>
        <v/>
      </c>
      <c r="AI51">
        <f>SI(AH51="NA";"NA";SI(AH51="PEND";"PEND";AH51*100))</f>
        <v/>
      </c>
      <c r="AJ51" t="inlineStr">
        <is>
          <t>Obligación contenida en el Plan de Manejo</t>
        </is>
      </c>
      <c r="AK51" t="inlineStr">
        <is>
          <t>Expreso en el Plan de Manejo</t>
        </is>
      </c>
    </row>
    <row r="52">
      <c r="A52" t="inlineStr">
        <is>
          <t>REQ-051</t>
        </is>
      </c>
      <c r="B52" t="inlineStr">
        <is>
          <t>Transporte y disposición final</t>
        </is>
      </c>
      <c r="C52" t="inlineStr">
        <is>
          <t>Disposición</t>
        </is>
      </c>
      <c r="D52" t="inlineStr">
        <is>
          <t>Operación</t>
        </is>
      </c>
      <c r="E52" t="inlineStr">
        <is>
          <t>Residuos domiciliarios</t>
        </is>
      </c>
      <c r="F52" t="inlineStr">
        <is>
          <t>Disposición final en vertedero autorizado (La Junta u otro)</t>
        </is>
      </c>
      <c r="G52" t="inlineStr">
        <is>
          <t>Certificados de disposición</t>
        </is>
      </c>
      <c r="H52" t="inlineStr">
        <is>
          <t>Plan de Manejo Ambiental Específico para Instalación de Faenas Río Ventisquero, Rev. 1</t>
        </is>
      </c>
      <c r="I52" t="inlineStr">
        <is>
          <t>Validar con normativa vigente o autoridad competente</t>
        </is>
      </c>
      <c r="J52" t="inlineStr">
        <is>
          <t>Mensual</t>
        </is>
      </c>
      <c r="K52" t="inlineStr">
        <is>
          <t>Certificados del mes</t>
        </is>
      </c>
      <c r="L52" t="inlineStr">
        <is>
          <t>Revisión documental</t>
        </is>
      </c>
      <c r="M52" t="inlineStr">
        <is>
          <t>Disposición autorizada acreditada</t>
        </is>
      </c>
      <c r="N52" t="inlineStr"/>
      <c r="O52" t="inlineStr"/>
      <c r="P52" t="inlineStr"/>
      <c r="Q52" t="inlineStr"/>
      <c r="R52" t="inlineStr"/>
      <c r="S52" t="inlineStr"/>
      <c r="T52" s="9" t="inlineStr"/>
      <c r="U52" t="inlineStr"/>
      <c r="V52" t="inlineStr"/>
      <c r="W52" s="9" t="inlineStr"/>
      <c r="X52" s="9" t="inlineStr"/>
      <c r="Y52">
        <f>SI(Y(W52&lt;&gt;"";X52="");HOY()-W52;SI(Y(W52&lt;&gt;"";X52&lt;&gt;"");X52-W52;""))</f>
        <v/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>
        <f>SI(N52="Cumple";Config!$B$9;SI(N52="Cumple parcialmente";Config!$B$10;SI(N52="No cumple";Config!$B$11;SI(N52="En proceso de regularización";Config!$B$12;SI(N52="No aplica";"NA";"PEND")))))</f>
        <v/>
      </c>
      <c r="AI52">
        <f>SI(AH52="NA";"NA";SI(AH52="PEND";"PEND";AH52*100))</f>
        <v/>
      </c>
      <c r="AJ52" t="inlineStr">
        <is>
          <t>Obligación contenida en el Plan de Manejo</t>
        </is>
      </c>
      <c r="AK52" t="inlineStr">
        <is>
          <t>Expreso en el Plan de Manejo</t>
        </is>
      </c>
    </row>
    <row r="53">
      <c r="A53" t="inlineStr">
        <is>
          <t>REQ-052</t>
        </is>
      </c>
      <c r="B53" t="inlineStr">
        <is>
          <t>Control de plagas</t>
        </is>
      </c>
      <c r="C53" t="inlineStr">
        <is>
          <t>Vectores</t>
        </is>
      </c>
      <c r="D53" t="inlineStr">
        <is>
          <t>Operación</t>
        </is>
      </c>
      <c r="E53" t="inlineStr">
        <is>
          <t>Instalación completa</t>
        </is>
      </c>
      <c r="F53" t="inlineStr">
        <is>
          <t>Control de vectores</t>
        </is>
      </c>
      <c r="G53" t="inlineStr">
        <is>
          <t>Sin proliferación de vectores</t>
        </is>
      </c>
      <c r="H53" t="inlineStr">
        <is>
          <t>Plan de Manejo Ambiental Específico para Instalación de Faenas Río Ventisquero, Rev. 1</t>
        </is>
      </c>
      <c r="I53" t="inlineStr">
        <is>
          <t>Plan de Manejo Ambiental Específico para Instalación de Faenas Río Ventisquero, Rev. 1</t>
        </is>
      </c>
      <c r="J53" t="inlineStr">
        <is>
          <t>Mensual</t>
        </is>
      </c>
      <c r="K53" t="inlineStr">
        <is>
          <t>Control efectivo</t>
        </is>
      </c>
      <c r="L53" t="inlineStr">
        <is>
          <t>Inspección visual</t>
        </is>
      </c>
      <c r="M53" t="inlineStr">
        <is>
          <t>Vectores controlados</t>
        </is>
      </c>
      <c r="N53" t="inlineStr"/>
      <c r="O53" t="inlineStr"/>
      <c r="P53" t="inlineStr"/>
      <c r="Q53" t="inlineStr"/>
      <c r="R53" t="inlineStr"/>
      <c r="S53" t="inlineStr"/>
      <c r="T53" s="9" t="inlineStr"/>
      <c r="U53" t="inlineStr"/>
      <c r="V53" t="inlineStr"/>
      <c r="W53" s="9" t="inlineStr"/>
      <c r="X53" s="9" t="inlineStr"/>
      <c r="Y53">
        <f>SI(Y(W53&lt;&gt;"";X53="");HOY()-W53;SI(Y(W53&lt;&gt;"";X53&lt;&gt;"");X53-W53;""))</f>
        <v/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>
        <f>SI(N53="Cumple";Config!$B$9;SI(N53="Cumple parcialmente";Config!$B$10;SI(N53="No cumple";Config!$B$11;SI(N53="En proceso de regularización";Config!$B$12;SI(N53="No aplica";"NA";"PEND")))))</f>
        <v/>
      </c>
      <c r="AI53">
        <f>SI(AH53="NA";"NA";SI(AH53="PEND";"PEND";AH53*100))</f>
        <v/>
      </c>
      <c r="AJ53" t="inlineStr">
        <is>
          <t>Obligación contenida en el Plan de Manejo</t>
        </is>
      </c>
      <c r="AK53" t="inlineStr">
        <is>
          <t>Expreso en el Plan de Manejo</t>
        </is>
      </c>
    </row>
    <row r="54">
      <c r="A54" t="inlineStr">
        <is>
          <t>REQ-053</t>
        </is>
      </c>
      <c r="B54" t="inlineStr">
        <is>
          <t>Residuos domiciliarios y asimilables</t>
        </is>
      </c>
      <c r="C54" t="inlineStr">
        <is>
          <t>Acumulación</t>
        </is>
      </c>
      <c r="D54" t="inlineStr">
        <is>
          <t>Operación</t>
        </is>
      </c>
      <c r="E54" t="inlineStr">
        <is>
          <t>Instalación completa</t>
        </is>
      </c>
      <c r="F54" t="inlineStr">
        <is>
          <t>Ausencia de acumulación de residuos</t>
        </is>
      </c>
      <c r="G54" t="inlineStr">
        <is>
          <t>Sin acopios fuera de sectores habilitados</t>
        </is>
      </c>
      <c r="H54" t="inlineStr">
        <is>
          <t>Plan de Manejo Ambiental Específico para Instalación de Faenas Río Ventisquero, Rev. 1</t>
        </is>
      </c>
      <c r="I54" t="inlineStr">
        <is>
          <t>Plan de Manejo Ambiental Específico para Instalación de Faenas Río Ventisquero, Rev. 1</t>
        </is>
      </c>
      <c r="J54" t="inlineStr">
        <is>
          <t>Semanal</t>
        </is>
      </c>
      <c r="K54" t="inlineStr">
        <is>
          <t>Sin acumulación</t>
        </is>
      </c>
      <c r="L54" t="inlineStr">
        <is>
          <t>Inspección visual</t>
        </is>
      </c>
      <c r="M54" t="inlineStr">
        <is>
          <t>Instalación sin acumulación</t>
        </is>
      </c>
      <c r="N54" t="inlineStr"/>
      <c r="O54" t="inlineStr"/>
      <c r="P54" t="inlineStr"/>
      <c r="Q54" t="inlineStr"/>
      <c r="R54" t="inlineStr"/>
      <c r="S54" t="inlineStr"/>
      <c r="T54" s="9" t="inlineStr"/>
      <c r="U54" t="inlineStr"/>
      <c r="V54" t="inlineStr"/>
      <c r="W54" s="9" t="inlineStr"/>
      <c r="X54" s="9" t="inlineStr"/>
      <c r="Y54">
        <f>SI(Y(W54&lt;&gt;"";X54="");HOY()-W54;SI(Y(W54&lt;&gt;"";X54&lt;&gt;"");X54-W54;""))</f>
        <v/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>
        <f>SI(N54="Cumple";Config!$B$9;SI(N54="Cumple parcialmente";Config!$B$10;SI(N54="No cumple";Config!$B$11;SI(N54="En proceso de regularización";Config!$B$12;SI(N54="No aplica";"NA";"PEND")))))</f>
        <v/>
      </c>
      <c r="AI54">
        <f>SI(AH54="NA";"NA";SI(AH54="PEND";"PEND";AH54*100))</f>
        <v/>
      </c>
      <c r="AJ54" t="inlineStr">
        <is>
          <t>Obligación contenida en el Plan de Manejo</t>
        </is>
      </c>
      <c r="AK54" t="inlineStr">
        <is>
          <t>Expreso en el Plan de Manejo</t>
        </is>
      </c>
    </row>
    <row r="55">
      <c r="A55" t="inlineStr">
        <is>
          <t>REQ-054</t>
        </is>
      </c>
      <c r="B55" t="inlineStr">
        <is>
          <t>Declaración RCD</t>
        </is>
      </c>
      <c r="C55" t="inlineStr">
        <is>
          <t>Reporte mensual</t>
        </is>
      </c>
      <c r="D55" t="inlineStr">
        <is>
          <t>Operación</t>
        </is>
      </c>
      <c r="E55" t="inlineStr">
        <is>
          <t>Oficina ambiental</t>
        </is>
      </c>
      <c r="F55" t="inlineStr">
        <is>
          <t>Reporte mensual Planilla RCD</t>
        </is>
      </c>
      <c r="G55" t="inlineStr">
        <is>
          <t>RCD reportado mensualmente</t>
        </is>
      </c>
      <c r="H55" t="inlineStr">
        <is>
          <t>Plan de Manejo Ambiental Específico para Instalación de Faenas Río Ventisquero, Rev. 1</t>
        </is>
      </c>
      <c r="I55" t="inlineStr">
        <is>
          <t>Validar con normativa vigente o autoridad competente</t>
        </is>
      </c>
      <c r="J55" t="inlineStr">
        <is>
          <t>Mensual</t>
        </is>
      </c>
      <c r="K55" t="inlineStr">
        <is>
          <t>Planilla RCD del mes</t>
        </is>
      </c>
      <c r="L55" t="inlineStr">
        <is>
          <t>Revisión documental</t>
        </is>
      </c>
      <c r="M55" t="inlineStr">
        <is>
          <t>RCD reportado</t>
        </is>
      </c>
      <c r="N55" t="inlineStr"/>
      <c r="O55" t="inlineStr"/>
      <c r="P55" t="inlineStr"/>
      <c r="Q55" t="inlineStr"/>
      <c r="R55" t="inlineStr"/>
      <c r="S55" t="inlineStr"/>
      <c r="T55" s="9" t="inlineStr"/>
      <c r="U55" t="inlineStr"/>
      <c r="V55" t="inlineStr"/>
      <c r="W55" s="9" t="inlineStr"/>
      <c r="X55" s="9" t="inlineStr"/>
      <c r="Y55">
        <f>SI(Y(W55&lt;&gt;"";X55="");HOY()-W55;SI(Y(W55&lt;&gt;"";X55&lt;&gt;"");X55-W55;""))</f>
        <v/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>
        <f>SI(N55="Cumple";Config!$B$9;SI(N55="Cumple parcialmente";Config!$B$10;SI(N55="No cumple";Config!$B$11;SI(N55="En proceso de regularización";Config!$B$12;SI(N55="No aplica";"NA";"PEND")))))</f>
        <v/>
      </c>
      <c r="AI55">
        <f>SI(AH55="NA";"NA";SI(AH55="PEND";"PEND";AH55*100))</f>
        <v/>
      </c>
      <c r="AJ55" t="inlineStr">
        <is>
          <t>Obligación contenida en el Plan de Manejo</t>
        </is>
      </c>
      <c r="AK55" t="inlineStr">
        <is>
          <t>Derivado del Plan de Manejo</t>
        </is>
      </c>
    </row>
    <row r="56">
      <c r="A56" t="inlineStr">
        <is>
          <t>REQ-055</t>
        </is>
      </c>
      <c r="B56" t="inlineStr">
        <is>
          <t>Bodega RESPEL</t>
        </is>
      </c>
      <c r="C56" t="inlineStr">
        <is>
          <t>Infraestructura</t>
        </is>
      </c>
      <c r="D56" t="inlineStr">
        <is>
          <t>Operación</t>
        </is>
      </c>
      <c r="E56" t="inlineStr">
        <is>
          <t>Bodega RESPEL</t>
        </is>
      </c>
      <c r="F56" t="inlineStr">
        <is>
          <t>Bodega RESPEL con radier impermeable</t>
        </is>
      </c>
      <c r="G56" t="inlineStr">
        <is>
          <t>Piso impermeabilizado y drenaje controlado</t>
        </is>
      </c>
      <c r="H56" t="inlineStr">
        <is>
          <t>Plan de Manejo Ambiental Específico para Instalación de Faenas Río Ventisquero, Rev. 1</t>
        </is>
      </c>
      <c r="I56" t="inlineStr">
        <is>
          <t>DS 148</t>
        </is>
      </c>
      <c r="J56" t="inlineStr">
        <is>
          <t>Mensual</t>
        </is>
      </c>
      <c r="K56" t="inlineStr">
        <is>
          <t>Radier conforme</t>
        </is>
      </c>
      <c r="L56" t="inlineStr">
        <is>
          <t>Inspección visual</t>
        </is>
      </c>
      <c r="M56" t="inlineStr">
        <is>
          <t>Infraestructura conforme</t>
        </is>
      </c>
      <c r="N56" t="inlineStr"/>
      <c r="O56" t="inlineStr"/>
      <c r="P56" t="inlineStr"/>
      <c r="Q56" t="inlineStr"/>
      <c r="R56" t="inlineStr"/>
      <c r="S56" t="inlineStr"/>
      <c r="T56" s="9" t="inlineStr"/>
      <c r="U56" t="inlineStr"/>
      <c r="V56" t="inlineStr"/>
      <c r="W56" s="9" t="inlineStr"/>
      <c r="X56" s="9" t="inlineStr"/>
      <c r="Y56">
        <f>SI(Y(W56&lt;&gt;"";X56="");HOY()-W56;SI(Y(W56&lt;&gt;"";X56&lt;&gt;"");X56-W56;""))</f>
        <v/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>
        <f>SI(N56="Cumple";Config!$B$9;SI(N56="Cumple parcialmente";Config!$B$10;SI(N56="No cumple";Config!$B$11;SI(N56="En proceso de regularización";Config!$B$12;SI(N56="No aplica";"NA";"PEND")))))</f>
        <v/>
      </c>
      <c r="AI56">
        <f>SI(AH56="NA";"NA";SI(AH56="PEND";"PEND";AH56*100))</f>
        <v/>
      </c>
      <c r="AJ56" t="inlineStr">
        <is>
          <t>Obligación contenida en el Plan de Manejo</t>
        </is>
      </c>
      <c r="AK56" t="inlineStr">
        <is>
          <t>Expreso en el Plan de Manejo</t>
        </is>
      </c>
    </row>
    <row r="57">
      <c r="A57" t="inlineStr">
        <is>
          <t>REQ-056</t>
        </is>
      </c>
      <c r="B57" t="inlineStr">
        <is>
          <t>Bodega RESPEL</t>
        </is>
      </c>
      <c r="C57" t="inlineStr">
        <is>
          <t>Señalización</t>
        </is>
      </c>
      <c r="D57" t="inlineStr">
        <is>
          <t>Operación</t>
        </is>
      </c>
      <c r="E57" t="inlineStr">
        <is>
          <t>Bodega RESPEL</t>
        </is>
      </c>
      <c r="F57" t="inlineStr">
        <is>
          <t>Señalización de bodega RESPEL</t>
        </is>
      </c>
      <c r="G57" t="inlineStr">
        <is>
          <t>Señalética RESPEL visible</t>
        </is>
      </c>
      <c r="H57" t="inlineStr">
        <is>
          <t>Plan de Manejo Ambiental Específico para Instalación de Faenas Río Ventisquero, Rev. 1</t>
        </is>
      </c>
      <c r="I57" t="inlineStr">
        <is>
          <t>DS 148</t>
        </is>
      </c>
      <c r="J57" t="inlineStr">
        <is>
          <t>Mensual</t>
        </is>
      </c>
      <c r="K57" t="inlineStr">
        <is>
          <t>Señalización conforme</t>
        </is>
      </c>
      <c r="L57" t="inlineStr">
        <is>
          <t>Inspección visual</t>
        </is>
      </c>
      <c r="M57" t="inlineStr">
        <is>
          <t>Señalización operativa</t>
        </is>
      </c>
      <c r="N57" t="inlineStr"/>
      <c r="O57" t="inlineStr"/>
      <c r="P57" t="inlineStr"/>
      <c r="Q57" t="inlineStr"/>
      <c r="R57" t="inlineStr"/>
      <c r="S57" t="inlineStr"/>
      <c r="T57" s="9" t="inlineStr"/>
      <c r="U57" t="inlineStr"/>
      <c r="V57" t="inlineStr"/>
      <c r="W57" s="9" t="inlineStr"/>
      <c r="X57" s="9" t="inlineStr"/>
      <c r="Y57">
        <f>SI(Y(W57&lt;&gt;"";X57="");HOY()-W57;SI(Y(W57&lt;&gt;"";X57&lt;&gt;"");X57-W57;""))</f>
        <v/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>
        <f>SI(N57="Cumple";Config!$B$9;SI(N57="Cumple parcialmente";Config!$B$10;SI(N57="No cumple";Config!$B$11;SI(N57="En proceso de regularización";Config!$B$12;SI(N57="No aplica";"NA";"PEND")))))</f>
        <v/>
      </c>
      <c r="AI57">
        <f>SI(AH57="NA";"NA";SI(AH57="PEND";"PEND";AH57*100))</f>
        <v/>
      </c>
      <c r="AJ57" t="inlineStr">
        <is>
          <t>Exigencia legal o reglamentaria</t>
        </is>
      </c>
      <c r="AK57" t="inlineStr">
        <is>
          <t>Norma o permiso aplicable</t>
        </is>
      </c>
    </row>
    <row r="58">
      <c r="A58" t="inlineStr">
        <is>
          <t>REQ-057</t>
        </is>
      </c>
      <c r="B58" t="inlineStr">
        <is>
          <t>Residuos peligrosos</t>
        </is>
      </c>
      <c r="C58" t="inlineStr">
        <is>
          <t>Almacenamiento</t>
        </is>
      </c>
      <c r="D58" t="inlineStr">
        <is>
          <t>Operación</t>
        </is>
      </c>
      <c r="E58" t="inlineStr">
        <is>
          <t>Bodega RESPEL</t>
        </is>
      </c>
      <c r="F58" t="inlineStr">
        <is>
          <t>Compatibilidad y contenedores cerrados etiquetados</t>
        </is>
      </c>
      <c r="G58" t="inlineStr">
        <is>
          <t>Almacenamiento compatible y rotulado</t>
        </is>
      </c>
      <c r="H58" t="inlineStr">
        <is>
          <t>Plan de Manejo Ambiental Específico para Instalación de Faenas Río Ventisquero, Rev. 1</t>
        </is>
      </c>
      <c r="I58" t="inlineStr">
        <is>
          <t>DS 148</t>
        </is>
      </c>
      <c r="J58" t="inlineStr">
        <is>
          <t>Semanal</t>
        </is>
      </c>
      <c r="K58" t="inlineStr">
        <is>
          <t>Contenedores cerrados y etiquetados</t>
        </is>
      </c>
      <c r="L58" t="inlineStr">
        <is>
          <t>Inspección visual</t>
        </is>
      </c>
      <c r="M58" t="inlineStr">
        <is>
          <t>Almacenamiento conforme</t>
        </is>
      </c>
      <c r="N58" t="inlineStr"/>
      <c r="O58" t="inlineStr"/>
      <c r="P58" t="inlineStr"/>
      <c r="Q58" t="inlineStr"/>
      <c r="R58" t="inlineStr"/>
      <c r="S58" t="inlineStr"/>
      <c r="T58" s="9" t="inlineStr"/>
      <c r="U58" t="inlineStr"/>
      <c r="V58" t="inlineStr"/>
      <c r="W58" s="9" t="inlineStr"/>
      <c r="X58" s="9" t="inlineStr"/>
      <c r="Y58">
        <f>SI(Y(W58&lt;&gt;"";X58="");HOY()-W58;SI(Y(W58&lt;&gt;"";X58&lt;&gt;"");X58-W58;""))</f>
        <v/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>
        <f>SI(N58="Cumple";Config!$B$9;SI(N58="Cumple parcialmente";Config!$B$10;SI(N58="No cumple";Config!$B$11;SI(N58="En proceso de regularización";Config!$B$12;SI(N58="No aplica";"NA";"PEND")))))</f>
        <v/>
      </c>
      <c r="AI58">
        <f>SI(AH58="NA";"NA";SI(AH58="PEND";"PEND";AH58*100))</f>
        <v/>
      </c>
      <c r="AJ58" t="inlineStr">
        <is>
          <t>Obligación contenida en el Plan de Manejo</t>
        </is>
      </c>
      <c r="AK58" t="inlineStr">
        <is>
          <t>Expreso en el Plan de Manejo</t>
        </is>
      </c>
    </row>
    <row r="59">
      <c r="A59" t="inlineStr">
        <is>
          <t>REQ-058</t>
        </is>
      </c>
      <c r="B59" t="inlineStr">
        <is>
          <t>Residuos peligrosos</t>
        </is>
      </c>
      <c r="C59" t="inlineStr">
        <is>
          <t>Registro</t>
        </is>
      </c>
      <c r="D59" t="inlineStr">
        <is>
          <t>Operación</t>
        </is>
      </c>
      <c r="E59" t="inlineStr">
        <is>
          <t>Bodega RESPEL</t>
        </is>
      </c>
      <c r="F59" t="inlineStr">
        <is>
          <t>Registro de ingreso y salida RESPEL</t>
        </is>
      </c>
      <c r="G59" t="inlineStr">
        <is>
          <t>Libro o registro actualizado</t>
        </is>
      </c>
      <c r="H59" t="inlineStr">
        <is>
          <t>Plan de Manejo Ambiental Específico para Instalación de Faenas Río Ventisquero, Rev. 1</t>
        </is>
      </c>
      <c r="I59" t="inlineStr">
        <is>
          <t>DS 148</t>
        </is>
      </c>
      <c r="J59" t="inlineStr">
        <is>
          <t>Mensual</t>
        </is>
      </c>
      <c r="K59" t="inlineStr">
        <is>
          <t>Registro completo</t>
        </is>
      </c>
      <c r="L59" t="inlineStr">
        <is>
          <t>Revisión documental</t>
        </is>
      </c>
      <c r="M59" t="inlineStr">
        <is>
          <t>Trazabilidad RESPEL</t>
        </is>
      </c>
      <c r="N59" t="inlineStr"/>
      <c r="O59" t="inlineStr"/>
      <c r="P59" t="inlineStr"/>
      <c r="Q59" t="inlineStr"/>
      <c r="R59" t="inlineStr"/>
      <c r="S59" t="inlineStr"/>
      <c r="T59" s="9" t="inlineStr"/>
      <c r="U59" t="inlineStr"/>
      <c r="V59" t="inlineStr"/>
      <c r="W59" s="9" t="inlineStr"/>
      <c r="X59" s="9" t="inlineStr"/>
      <c r="Y59">
        <f>SI(Y(W59&lt;&gt;"";X59="");HOY()-W59;SI(Y(W59&lt;&gt;"";X59&lt;&gt;"");X59-W59;""))</f>
        <v/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>
        <f>SI(N59="Cumple";Config!$B$9;SI(N59="Cumple parcialmente";Config!$B$10;SI(N59="No cumple";Config!$B$11;SI(N59="En proceso de regularización";Config!$B$12;SI(N59="No aplica";"NA";"PEND")))))</f>
        <v/>
      </c>
      <c r="AI59">
        <f>SI(AH59="NA";"NA";SI(AH59="PEND";"PEND";AH59*100))</f>
        <v/>
      </c>
      <c r="AJ59" t="inlineStr">
        <is>
          <t>Obligación contenida en el Plan de Manejo</t>
        </is>
      </c>
      <c r="AK59" t="inlineStr">
        <is>
          <t>Expreso en el Plan de Manejo</t>
        </is>
      </c>
    </row>
    <row r="60">
      <c r="A60" t="inlineStr">
        <is>
          <t>REQ-059</t>
        </is>
      </c>
      <c r="B60" t="inlineStr">
        <is>
          <t>Residuos peligrosos</t>
        </is>
      </c>
      <c r="C60" t="inlineStr">
        <is>
          <t>Tiempo almacenamiento</t>
        </is>
      </c>
      <c r="D60" t="inlineStr">
        <is>
          <t>Operación</t>
        </is>
      </c>
      <c r="E60" t="inlineStr">
        <is>
          <t>Bodega RESPEL</t>
        </is>
      </c>
      <c r="F60" t="inlineStr">
        <is>
          <t>Tiempo de almacenamiento ≤ 6 meses</t>
        </is>
      </c>
      <c r="G60" t="inlineStr">
        <is>
          <t>Sin RESPEL almacenado por más de 6 meses</t>
        </is>
      </c>
      <c r="H60" t="inlineStr">
        <is>
          <t>Plan de Manejo Ambiental Específico para Instalación de Faenas Río Ventisquero, Rev. 1</t>
        </is>
      </c>
      <c r="I60" t="inlineStr">
        <is>
          <t>DS 148</t>
        </is>
      </c>
      <c r="J60" t="inlineStr">
        <is>
          <t>Mensual</t>
        </is>
      </c>
      <c r="K60" t="inlineStr">
        <is>
          <t>Antigüedad ≤ 6 meses</t>
        </is>
      </c>
      <c r="L60" t="inlineStr">
        <is>
          <t>Revisión de registro</t>
        </is>
      </c>
      <c r="M60" t="inlineStr">
        <is>
          <t>Plazo de almacenamiento cumplido</t>
        </is>
      </c>
      <c r="N60" t="inlineStr"/>
      <c r="O60" t="inlineStr"/>
      <c r="P60" t="inlineStr"/>
      <c r="Q60" t="inlineStr"/>
      <c r="R60" t="inlineStr"/>
      <c r="S60" t="inlineStr"/>
      <c r="T60" s="9" t="inlineStr"/>
      <c r="U60" t="inlineStr"/>
      <c r="V60" t="inlineStr"/>
      <c r="W60" s="9" t="inlineStr"/>
      <c r="X60" s="9" t="inlineStr"/>
      <c r="Y60">
        <f>SI(Y(W60&lt;&gt;"";X60="");HOY()-W60;SI(Y(W60&lt;&gt;"";X60&lt;&gt;"");X60-W60;""))</f>
        <v/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>
        <f>SI(N60="Cumple";Config!$B$9;SI(N60="Cumple parcialmente";Config!$B$10;SI(N60="No cumple";Config!$B$11;SI(N60="En proceso de regularización";Config!$B$12;SI(N60="No aplica";"NA";"PEND")))))</f>
        <v/>
      </c>
      <c r="AI60">
        <f>SI(AH60="NA";"NA";SI(AH60="PEND";"PEND";AH60*100))</f>
        <v/>
      </c>
      <c r="AJ60" t="inlineStr">
        <is>
          <t>Exigencia legal o reglamentaria</t>
        </is>
      </c>
      <c r="AK60" t="inlineStr">
        <is>
          <t>Norma o permiso aplicable</t>
        </is>
      </c>
    </row>
    <row r="61">
      <c r="A61" t="inlineStr">
        <is>
          <t>REQ-060</t>
        </is>
      </c>
      <c r="B61" t="inlineStr">
        <is>
          <t>Transporte y disposición final</t>
        </is>
      </c>
      <c r="C61" t="inlineStr">
        <is>
          <t>RESPEL</t>
        </is>
      </c>
      <c r="D61" t="inlineStr">
        <is>
          <t>Operación</t>
        </is>
      </c>
      <c r="E61" t="inlineStr">
        <is>
          <t>Bodega RESPEL</t>
        </is>
      </c>
      <c r="F61" t="inlineStr">
        <is>
          <t>Transporte y disposición RESPEL autorizados</t>
        </is>
      </c>
      <c r="G61" t="inlineStr">
        <is>
          <t>Manifiestos y certificados de disposición</t>
        </is>
      </c>
      <c r="H61" t="inlineStr">
        <is>
          <t>Plan de Manejo Ambiental Específico para Instalación de Faenas Río Ventisquero, Rev. 1</t>
        </is>
      </c>
      <c r="I61" t="inlineStr">
        <is>
          <t>DS 148</t>
        </is>
      </c>
      <c r="J61" t="inlineStr">
        <is>
          <t>Mensual</t>
        </is>
      </c>
      <c r="K61" t="inlineStr">
        <is>
          <t>Manifiestos del mes</t>
        </is>
      </c>
      <c r="L61" t="inlineStr">
        <is>
          <t>Revisión documental</t>
        </is>
      </c>
      <c r="M61" t="inlineStr">
        <is>
          <t>Disposición RESPEL acreditada</t>
        </is>
      </c>
      <c r="N61" t="inlineStr"/>
      <c r="O61" t="inlineStr"/>
      <c r="P61" t="inlineStr"/>
      <c r="Q61" t="inlineStr"/>
      <c r="R61" t="inlineStr"/>
      <c r="S61" t="inlineStr"/>
      <c r="T61" s="9" t="inlineStr"/>
      <c r="U61" t="inlineStr"/>
      <c r="V61" t="inlineStr"/>
      <c r="W61" s="9" t="inlineStr"/>
      <c r="X61" s="9" t="inlineStr"/>
      <c r="Y61">
        <f>SI(Y(W61&lt;&gt;"";X61="");HOY()-W61;SI(Y(W61&lt;&gt;"";X61&lt;&gt;"");X61-W61;""))</f>
        <v/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>
        <f>SI(N61="Cumple";Config!$B$9;SI(N61="Cumple parcialmente";Config!$B$10;SI(N61="No cumple";Config!$B$11;SI(N61="En proceso de regularización";Config!$B$12;SI(N61="No aplica";"NA";"PEND")))))</f>
        <v/>
      </c>
      <c r="AI61">
        <f>SI(AH61="NA";"NA";SI(AH61="PEND";"PEND";AH61*100))</f>
        <v/>
      </c>
      <c r="AJ61" t="inlineStr">
        <is>
          <t>Obligación contenida en el Plan de Manejo</t>
        </is>
      </c>
      <c r="AK61" t="inlineStr">
        <is>
          <t>Expreso en el Plan de Manejo</t>
        </is>
      </c>
    </row>
    <row r="62">
      <c r="A62" t="inlineStr">
        <is>
          <t>REQ-061</t>
        </is>
      </c>
      <c r="B62" t="inlineStr">
        <is>
          <t>Residuos peligrosos</t>
        </is>
      </c>
      <c r="C62" t="inlineStr">
        <is>
          <t>Aceites y filtros</t>
        </is>
      </c>
      <c r="D62" t="inlineStr">
        <is>
          <t>Operación</t>
        </is>
      </c>
      <c r="E62" t="inlineStr">
        <is>
          <t>Taller/bodega</t>
        </is>
      </c>
      <c r="F62" t="inlineStr">
        <is>
          <t>Control de aceites usados, filtros, baterías y similares</t>
        </is>
      </c>
      <c r="G62" t="inlineStr">
        <is>
          <t>RESPEL segregados y gestionados</t>
        </is>
      </c>
      <c r="H62" t="inlineStr">
        <is>
          <t>Plan de Manejo Ambiental Específico para Instalación de Faenas Río Ventisquero, Rev. 1</t>
        </is>
      </c>
      <c r="I62" t="inlineStr">
        <is>
          <t>DS 148</t>
        </is>
      </c>
      <c r="J62" t="inlineStr">
        <is>
          <t>Mensual</t>
        </is>
      </c>
      <c r="K62" t="inlineStr">
        <is>
          <t>RESPEL identificados y gestionados</t>
        </is>
      </c>
      <c r="L62" t="inlineStr">
        <is>
          <t>Inspección y revisión registros</t>
        </is>
      </c>
      <c r="M62" t="inlineStr">
        <is>
          <t>Gestión conforme</t>
        </is>
      </c>
      <c r="N62" t="inlineStr"/>
      <c r="O62" t="inlineStr"/>
      <c r="P62" t="inlineStr"/>
      <c r="Q62" t="inlineStr"/>
      <c r="R62" t="inlineStr"/>
      <c r="S62" t="inlineStr"/>
      <c r="T62" s="9" t="inlineStr"/>
      <c r="U62" t="inlineStr"/>
      <c r="V62" t="inlineStr"/>
      <c r="W62" s="9" t="inlineStr"/>
      <c r="X62" s="9" t="inlineStr"/>
      <c r="Y62">
        <f>SI(Y(W62&lt;&gt;"";X62="");HOY()-W62;SI(Y(W62&lt;&gt;"";X62&lt;&gt;"");X62-W62;""))</f>
        <v/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>
        <f>SI(N62="Cumple";Config!$B$9;SI(N62="Cumple parcialmente";Config!$B$10;SI(N62="No cumple";Config!$B$11;SI(N62="En proceso de regularización";Config!$B$12;SI(N62="No aplica";"NA";"PEND")))))</f>
        <v/>
      </c>
      <c r="AI62">
        <f>SI(AH62="NA";"NA";SI(AH62="PEND";"PEND";AH62*100))</f>
        <v/>
      </c>
      <c r="AJ62" t="inlineStr">
        <is>
          <t>Obligación contenida en el Plan de Manejo</t>
        </is>
      </c>
      <c r="AK62" t="inlineStr">
        <is>
          <t>Expreso en el Plan de Manejo</t>
        </is>
      </c>
    </row>
    <row r="63">
      <c r="A63" t="inlineStr">
        <is>
          <t>REQ-062</t>
        </is>
      </c>
      <c r="B63" t="inlineStr">
        <is>
          <t>Orden y limpieza</t>
        </is>
      </c>
      <c r="C63" t="inlineStr">
        <is>
          <t>General</t>
        </is>
      </c>
      <c r="D63" t="inlineStr">
        <is>
          <t>Operación</t>
        </is>
      </c>
      <c r="E63" t="inlineStr">
        <is>
          <t>Instalación completa</t>
        </is>
      </c>
      <c r="F63" t="inlineStr">
        <is>
          <t>Orden general de la instalación</t>
        </is>
      </c>
      <c r="G63" t="inlineStr">
        <is>
          <t>Instalación ordenada y limpia</t>
        </is>
      </c>
      <c r="H63" t="inlineStr">
        <is>
          <t>Plan de Manejo Ambiental Específico para Instalación de Faenas Río Ventisquero, Rev. 1</t>
        </is>
      </c>
      <c r="I63" t="inlineStr">
        <is>
          <t>Plan de Manejo Ambiental Específico para Instalación de Faenas Río Ventisquero, Rev. 1</t>
        </is>
      </c>
      <c r="J63" t="inlineStr">
        <is>
          <t>Semanal</t>
        </is>
      </c>
      <c r="K63" t="inlineStr">
        <is>
          <t>Orden y limpieza general</t>
        </is>
      </c>
      <c r="L63" t="inlineStr">
        <is>
          <t>Inspección visual</t>
        </is>
      </c>
      <c r="M63" t="inlineStr">
        <is>
          <t>Instalación ordenada</t>
        </is>
      </c>
      <c r="N63" t="inlineStr"/>
      <c r="O63" t="inlineStr"/>
      <c r="P63" t="inlineStr"/>
      <c r="Q63" t="inlineStr"/>
      <c r="R63" t="inlineStr"/>
      <c r="S63" t="inlineStr"/>
      <c r="T63" s="9" t="inlineStr"/>
      <c r="U63" t="inlineStr"/>
      <c r="V63" t="inlineStr"/>
      <c r="W63" s="9" t="inlineStr"/>
      <c r="X63" s="9" t="inlineStr"/>
      <c r="Y63">
        <f>SI(Y(W63&lt;&gt;"";X63="");HOY()-W63;SI(Y(W63&lt;&gt;"";X63&lt;&gt;"");X63-W63;""))</f>
        <v/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>
        <f>SI(N63="Cumple";Config!$B$9;SI(N63="Cumple parcialmente";Config!$B$10;SI(N63="No cumple";Config!$B$11;SI(N63="En proceso de regularización";Config!$B$12;SI(N63="No aplica";"NA";"PEND")))))</f>
        <v/>
      </c>
      <c r="AI63">
        <f>SI(AH63="NA";"NA";SI(AH63="PEND";"PEND";AH63*100))</f>
        <v/>
      </c>
      <c r="AJ63" t="inlineStr">
        <is>
          <t>Obligación contenida en el Plan de Manejo</t>
        </is>
      </c>
      <c r="AK63" t="inlineStr">
        <is>
          <t>Expreso en el Plan de Manejo</t>
        </is>
      </c>
    </row>
    <row r="64">
      <c r="A64" t="inlineStr">
        <is>
          <t>REQ-063</t>
        </is>
      </c>
      <c r="B64" t="inlineStr">
        <is>
          <t>Control de accesos</t>
        </is>
      </c>
      <c r="C64" t="inlineStr">
        <is>
          <t>Perímetro</t>
        </is>
      </c>
      <c r="D64" t="inlineStr">
        <is>
          <t>Operación</t>
        </is>
      </c>
      <c r="E64" t="inlineStr">
        <is>
          <t>Acceso principal</t>
        </is>
      </c>
      <c r="F64" t="inlineStr">
        <is>
          <t>Cierre perimetral y portón cerrado</t>
        </is>
      </c>
      <c r="G64" t="inlineStr">
        <is>
          <t>Perímetro cerrado con control de acceso</t>
        </is>
      </c>
      <c r="H64" t="inlineStr">
        <is>
          <t>Plan de Manejo Ambiental Específico para Instalación de Faenas Río Ventisquero, Rev. 1</t>
        </is>
      </c>
      <c r="I64" t="inlineStr">
        <is>
          <t>Plan de Manejo Ambiental Específico para Instalación de Faenas Río Ventisquero, Rev. 1</t>
        </is>
      </c>
      <c r="J64" t="inlineStr">
        <is>
          <t>Diaria</t>
        </is>
      </c>
      <c r="K64" t="inlineStr">
        <is>
          <t>Portón y cerco operativos</t>
        </is>
      </c>
      <c r="L64" t="inlineStr">
        <is>
          <t>Inspección visual</t>
        </is>
      </c>
      <c r="M64" t="inlineStr">
        <is>
          <t>Acceso controlado</t>
        </is>
      </c>
      <c r="N64" t="inlineStr"/>
      <c r="O64" t="inlineStr"/>
      <c r="P64" t="inlineStr"/>
      <c r="Q64" t="inlineStr"/>
      <c r="R64" t="inlineStr"/>
      <c r="S64" t="inlineStr"/>
      <c r="T64" s="9" t="inlineStr"/>
      <c r="U64" t="inlineStr"/>
      <c r="V64" t="inlineStr"/>
      <c r="W64" s="9" t="inlineStr"/>
      <c r="X64" s="9" t="inlineStr"/>
      <c r="Y64">
        <f>SI(Y(W64&lt;&gt;"";X64="");HOY()-W64;SI(Y(W64&lt;&gt;"";X64&lt;&gt;"");X64-W64;""))</f>
        <v/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>
        <f>SI(N64="Cumple";Config!$B$9;SI(N64="Cumple parcialmente";Config!$B$10;SI(N64="No cumple";Config!$B$11;SI(N64="En proceso de regularización";Config!$B$12;SI(N64="No aplica";"NA";"PEND")))))</f>
        <v/>
      </c>
      <c r="AI64">
        <f>SI(AH64="NA";"NA";SI(AH64="PEND";"PEND";AH64*100))</f>
        <v/>
      </c>
      <c r="AJ64" t="inlineStr">
        <is>
          <t>Obligación contenida en el Plan de Manejo</t>
        </is>
      </c>
      <c r="AK64" t="inlineStr">
        <is>
          <t>Expreso en el Plan de Manejo</t>
        </is>
      </c>
    </row>
    <row r="65">
      <c r="A65" t="inlineStr">
        <is>
          <t>REQ-064</t>
        </is>
      </c>
      <c r="B65" t="inlineStr">
        <is>
          <t>Ocupación del área</t>
        </is>
      </c>
      <c r="C65" t="inlineStr">
        <is>
          <t>Faja fiscal</t>
        </is>
      </c>
      <c r="D65" t="inlineStr">
        <is>
          <t>Operación</t>
        </is>
      </c>
      <c r="E65" t="inlineStr">
        <is>
          <t>Perímetro</t>
        </is>
      </c>
      <c r="F65" t="inlineStr">
        <is>
          <t>Ausencia de acopios en faja fiscal</t>
        </is>
      </c>
      <c r="G65" t="inlineStr">
        <is>
          <t>Sin materiales en faja fiscal</t>
        </is>
      </c>
      <c r="H65" t="inlineStr">
        <is>
          <t>Plan de Manejo Ambiental Específico para Instalación de Faenas Río Ventisquero, Rev. 1</t>
        </is>
      </c>
      <c r="I65" t="inlineStr">
        <is>
          <t>Plan de Manejo Ambiental Específico para Instalación de Faenas Río Ventisquero, Rev. 1</t>
        </is>
      </c>
      <c r="J65" t="inlineStr">
        <is>
          <t>Semanal</t>
        </is>
      </c>
      <c r="K65" t="inlineStr">
        <is>
          <t>Faja fiscal libre</t>
        </is>
      </c>
      <c r="L65" t="inlineStr">
        <is>
          <t>Inspección visual</t>
        </is>
      </c>
      <c r="M65" t="inlineStr">
        <is>
          <t>Sin acopios en faja fiscal</t>
        </is>
      </c>
      <c r="N65" t="inlineStr"/>
      <c r="O65" t="inlineStr"/>
      <c r="P65" t="inlineStr"/>
      <c r="Q65" t="inlineStr"/>
      <c r="R65" t="inlineStr"/>
      <c r="S65" t="inlineStr"/>
      <c r="T65" s="9" t="inlineStr"/>
      <c r="U65" t="inlineStr"/>
      <c r="V65" t="inlineStr"/>
      <c r="W65" s="9" t="inlineStr"/>
      <c r="X65" s="9" t="inlineStr"/>
      <c r="Y65">
        <f>SI(Y(W65&lt;&gt;"";X65="");HOY()-W65;SI(Y(W65&lt;&gt;"";X65&lt;&gt;"");X65-W65;""))</f>
        <v/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>
        <f>SI(N65="Cumple";Config!$B$9;SI(N65="Cumple parcialmente";Config!$B$10;SI(N65="No cumple";Config!$B$11;SI(N65="En proceso de regularización";Config!$B$12;SI(N65="No aplica";"NA";"PEND")))))</f>
        <v/>
      </c>
      <c r="AI65">
        <f>SI(AH65="NA";"NA";SI(AH65="PEND";"PEND";AH65*100))</f>
        <v/>
      </c>
      <c r="AJ65" t="inlineStr">
        <is>
          <t>Obligación contenida en el Plan de Manejo</t>
        </is>
      </c>
      <c r="AK65" t="inlineStr">
        <is>
          <t>Expreso en el Plan de Manejo</t>
        </is>
      </c>
    </row>
    <row r="66">
      <c r="A66" t="inlineStr">
        <is>
          <t>REQ-065</t>
        </is>
      </c>
      <c r="B66" t="inlineStr">
        <is>
          <t>Flujo y tránsito de maquinaria</t>
        </is>
      </c>
      <c r="C66" t="inlineStr">
        <is>
          <t>Ruta 7</t>
        </is>
      </c>
      <c r="D66" t="inlineStr">
        <is>
          <t>Operación</t>
        </is>
      </c>
      <c r="E66" t="inlineStr">
        <is>
          <t>Acceso Ruta 7</t>
        </is>
      </c>
      <c r="F66" t="inlineStr">
        <is>
          <t>Ausencia de camiones/maquinaria estacionados en Ruta 7</t>
        </is>
      </c>
      <c r="G66" t="inlineStr">
        <is>
          <t>Estacionamiento solo en instalación</t>
        </is>
      </c>
      <c r="H66" t="inlineStr">
        <is>
          <t>Plan de Manejo Ambiental Específico para Instalación de Faenas Río Ventisquero, Rev. 1</t>
        </is>
      </c>
      <c r="I66" t="inlineStr">
        <is>
          <t>Plan de Manejo Ambiental Específico para Instalación de Faenas Río Ventisquero, Rev. 1</t>
        </is>
      </c>
      <c r="J66" t="inlineStr">
        <is>
          <t>Semanal</t>
        </is>
      </c>
      <c r="K66" t="inlineStr">
        <is>
          <t>Sin estacionamiento en ruta</t>
        </is>
      </c>
      <c r="L66" t="inlineStr">
        <is>
          <t>Inspección visual</t>
        </is>
      </c>
      <c r="M66" t="inlineStr">
        <is>
          <t>Cumplimiento verificado</t>
        </is>
      </c>
      <c r="N66" t="inlineStr"/>
      <c r="O66" t="inlineStr"/>
      <c r="P66" t="inlineStr"/>
      <c r="Q66" t="inlineStr"/>
      <c r="R66" t="inlineStr"/>
      <c r="S66" t="inlineStr"/>
      <c r="T66" s="9" t="inlineStr"/>
      <c r="U66" t="inlineStr"/>
      <c r="V66" t="inlineStr"/>
      <c r="W66" s="9" t="inlineStr"/>
      <c r="X66" s="9" t="inlineStr"/>
      <c r="Y66">
        <f>SI(Y(W66&lt;&gt;"";X66="");HOY()-W66;SI(Y(W66&lt;&gt;"";X66&lt;&gt;"");X66-W66;""))</f>
        <v/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>
        <f>SI(N66="Cumple";Config!$B$9;SI(N66="Cumple parcialmente";Config!$B$10;SI(N66="No cumple";Config!$B$11;SI(N66="En proceso de regularización";Config!$B$12;SI(N66="No aplica";"NA";"PEND")))))</f>
        <v/>
      </c>
      <c r="AI66">
        <f>SI(AH66="NA";"NA";SI(AH66="PEND";"PEND";AH66*100))</f>
        <v/>
      </c>
      <c r="AJ66" t="inlineStr">
        <is>
          <t>Obligación contenida en el Plan de Manejo</t>
        </is>
      </c>
      <c r="AK66" t="inlineStr">
        <is>
          <t>Expreso en el Plan de Manejo</t>
        </is>
      </c>
    </row>
    <row r="67">
      <c r="A67" t="inlineStr">
        <is>
          <t>REQ-066</t>
        </is>
      </c>
      <c r="B67" t="inlineStr">
        <is>
          <t>Señalización</t>
        </is>
      </c>
      <c r="C67" t="inlineStr">
        <is>
          <t>Interna</t>
        </is>
      </c>
      <c r="D67" t="inlineStr">
        <is>
          <t>Operación</t>
        </is>
      </c>
      <c r="E67" t="inlineStr">
        <is>
          <t>Instalación completa</t>
        </is>
      </c>
      <c r="F67" t="inlineStr">
        <is>
          <t>Señalización interna y de velocidad</t>
        </is>
      </c>
      <c r="G67" t="inlineStr">
        <is>
          <t>Señalética visible y mantenida</t>
        </is>
      </c>
      <c r="H67" t="inlineStr">
        <is>
          <t>Plan de Manejo Ambiental Específico para Instalación de Faenas Río Ventisquero, Rev. 1</t>
        </is>
      </c>
      <c r="I67" t="inlineStr">
        <is>
          <t>Plan de Manejo Ambiental Específico para Instalación de Faenas Río Ventisquero, Rev. 1</t>
        </is>
      </c>
      <c r="J67" t="inlineStr">
        <is>
          <t>Mensual</t>
        </is>
      </c>
      <c r="K67" t="inlineStr">
        <is>
          <t>Señalización operativa</t>
        </is>
      </c>
      <c r="L67" t="inlineStr">
        <is>
          <t>Inspección visual</t>
        </is>
      </c>
      <c r="M67" t="inlineStr">
        <is>
          <t>Señalización conforme</t>
        </is>
      </c>
      <c r="N67" t="inlineStr"/>
      <c r="O67" t="inlineStr"/>
      <c r="P67" t="inlineStr"/>
      <c r="Q67" t="inlineStr"/>
      <c r="R67" t="inlineStr"/>
      <c r="S67" t="inlineStr"/>
      <c r="T67" s="9" t="inlineStr"/>
      <c r="U67" t="inlineStr"/>
      <c r="V67" t="inlineStr"/>
      <c r="W67" s="9" t="inlineStr"/>
      <c r="X67" s="9" t="inlineStr"/>
      <c r="Y67">
        <f>SI(Y(W67&lt;&gt;"";X67="");HOY()-W67;SI(Y(W67&lt;&gt;"";X67&lt;&gt;"");X67-W67;""))</f>
        <v/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>
        <f>SI(N67="Cumple";Config!$B$9;SI(N67="Cumple parcialmente";Config!$B$10;SI(N67="No cumple";Config!$B$11;SI(N67="En proceso de regularización";Config!$B$12;SI(N67="No aplica";"NA";"PEND")))))</f>
        <v/>
      </c>
      <c r="AI67">
        <f>SI(AH67="NA";"NA";SI(AH67="PEND";"PEND";AH67*100))</f>
        <v/>
      </c>
      <c r="AJ67" t="inlineStr">
        <is>
          <t>Obligación contenida en el Plan de Manejo</t>
        </is>
      </c>
      <c r="AK67" t="inlineStr">
        <is>
          <t>Expreso en el Plan de Manejo</t>
        </is>
      </c>
    </row>
    <row r="68">
      <c r="A68" t="inlineStr">
        <is>
          <t>REQ-067</t>
        </is>
      </c>
      <c r="B68" t="inlineStr">
        <is>
          <t>Condiciones generales de operación</t>
        </is>
      </c>
      <c r="C68" t="inlineStr">
        <is>
          <t>Instalaciones</t>
        </is>
      </c>
      <c r="D68" t="inlineStr">
        <is>
          <t>Operación</t>
        </is>
      </c>
      <c r="E68" t="inlineStr">
        <is>
          <t>Bodegas/oficinas/comedor</t>
        </is>
      </c>
      <c r="F68" t="inlineStr">
        <is>
          <t>Estado de bodegas, oficinas, comedor, laboratorio y taller</t>
        </is>
      </c>
      <c r="G68" t="inlineStr">
        <is>
          <t>Instalaciones en condiciones higiénicas</t>
        </is>
      </c>
      <c r="H68" t="inlineStr">
        <is>
          <t>Plan de Manejo Ambiental Específico para Instalación de Faenas Río Ventisquero, Rev. 1</t>
        </is>
      </c>
      <c r="I68" t="inlineStr">
        <is>
          <t>Plan de Manejo Ambiental Específico para Instalación de Faenas Río Ventisquero, Rev. 1</t>
        </is>
      </c>
      <c r="J68" t="inlineStr">
        <is>
          <t>Mensual</t>
        </is>
      </c>
      <c r="K68" t="inlineStr">
        <is>
          <t>Instalaciones conformes</t>
        </is>
      </c>
      <c r="L68" t="inlineStr">
        <is>
          <t>Inspección visual</t>
        </is>
      </c>
      <c r="M68" t="inlineStr">
        <is>
          <t>Condiciones adecuadas</t>
        </is>
      </c>
      <c r="N68" t="inlineStr"/>
      <c r="O68" t="inlineStr"/>
      <c r="P68" t="inlineStr"/>
      <c r="Q68" t="inlineStr"/>
      <c r="R68" t="inlineStr"/>
      <c r="S68" t="inlineStr"/>
      <c r="T68" s="9" t="inlineStr"/>
      <c r="U68" t="inlineStr"/>
      <c r="V68" t="inlineStr"/>
      <c r="W68" s="9" t="inlineStr"/>
      <c r="X68" s="9" t="inlineStr"/>
      <c r="Y68">
        <f>SI(Y(W68&lt;&gt;"";X68="");HOY()-W68;SI(Y(W68&lt;&gt;"";X68&lt;&gt;"");X68-W68;""))</f>
        <v/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>
        <f>SI(N68="Cumple";Config!$B$9;SI(N68="Cumple parcialmente";Config!$B$10;SI(N68="No cumple";Config!$B$11;SI(N68="En proceso de regularización";Config!$B$12;SI(N68="No aplica";"NA";"PEND")))))</f>
        <v/>
      </c>
      <c r="AI68">
        <f>SI(AH68="NA";"NA";SI(AH68="PEND";"PEND";AH68*100))</f>
        <v/>
      </c>
      <c r="AJ68" t="inlineStr">
        <is>
          <t>Obligación contenida en el Plan de Manejo</t>
        </is>
      </c>
      <c r="AK68" t="inlineStr">
        <is>
          <t>Derivado del Plan de Manejo</t>
        </is>
      </c>
    </row>
    <row r="69">
      <c r="A69" t="inlineStr">
        <is>
          <t>REQ-068</t>
        </is>
      </c>
      <c r="B69" t="inlineStr">
        <is>
          <t>Condiciones generales de operación</t>
        </is>
      </c>
      <c r="C69" t="inlineStr">
        <is>
          <t>Quemas</t>
        </is>
      </c>
      <c r="D69" t="inlineStr">
        <is>
          <t>Operación</t>
        </is>
      </c>
      <c r="E69" t="inlineStr">
        <is>
          <t>Instalación completa</t>
        </is>
      </c>
      <c r="F69" t="inlineStr">
        <is>
          <t>Ausencia de quemas al aire libre</t>
        </is>
      </c>
      <c r="G69" t="inlineStr">
        <is>
          <t>Prohibición de quemas cumplida</t>
        </is>
      </c>
      <c r="H69" t="inlineStr">
        <is>
          <t>Plan de Manejo Ambiental Específico para Instalación de Faenas Río Ventisquero, Rev. 1</t>
        </is>
      </c>
      <c r="I69" t="inlineStr">
        <is>
          <t>Ley 19.300 / DS 12</t>
        </is>
      </c>
      <c r="J69" t="inlineStr">
        <is>
          <t>Semanal</t>
        </is>
      </c>
      <c r="K69" t="inlineStr">
        <is>
          <t>Sin quemas</t>
        </is>
      </c>
      <c r="L69" t="inlineStr">
        <is>
          <t>Inspección visual</t>
        </is>
      </c>
      <c r="M69" t="inlineStr">
        <is>
          <t>Sin quemas detectadas</t>
        </is>
      </c>
      <c r="N69" t="inlineStr"/>
      <c r="O69" t="inlineStr"/>
      <c r="P69" t="inlineStr"/>
      <c r="Q69" t="inlineStr"/>
      <c r="R69" t="inlineStr"/>
      <c r="S69" t="inlineStr"/>
      <c r="T69" s="9" t="inlineStr"/>
      <c r="U69" t="inlineStr"/>
      <c r="V69" t="inlineStr"/>
      <c r="W69" s="9" t="inlineStr"/>
      <c r="X69" s="9" t="inlineStr"/>
      <c r="Y69">
        <f>SI(Y(W69&lt;&gt;"";X69="");HOY()-W69;SI(Y(W69&lt;&gt;"";X69&lt;&gt;"");X69-W69;""))</f>
        <v/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>
        <f>SI(N69="Cumple";Config!$B$9;SI(N69="Cumple parcialmente";Config!$B$10;SI(N69="No cumple";Config!$B$11;SI(N69="En proceso de regularización";Config!$B$12;SI(N69="No aplica";"NA";"PEND")))))</f>
        <v/>
      </c>
      <c r="AI69">
        <f>SI(AH69="NA";"NA";SI(AH69="PEND";"PEND";AH69*100))</f>
        <v/>
      </c>
      <c r="AJ69" t="inlineStr">
        <is>
          <t>Exigencia legal o reglamentaria</t>
        </is>
      </c>
      <c r="AK69" t="inlineStr">
        <is>
          <t>Norma o permiso aplicable</t>
        </is>
      </c>
    </row>
    <row r="70">
      <c r="A70" t="inlineStr">
        <is>
          <t>REQ-069</t>
        </is>
      </c>
      <c r="B70" t="inlineStr">
        <is>
          <t>Flora y fauna</t>
        </is>
      </c>
      <c r="C70" t="inlineStr">
        <is>
          <t>Prohibición caza</t>
        </is>
      </c>
      <c r="D70" t="inlineStr">
        <is>
          <t>Operación</t>
        </is>
      </c>
      <c r="E70" t="inlineStr">
        <is>
          <t>Instalación completa</t>
        </is>
      </c>
      <c r="F70" t="inlineStr">
        <is>
          <t>Prohibición de cazar</t>
        </is>
      </c>
      <c r="G70" t="inlineStr">
        <is>
          <t>Personal inducido y cumplimiento verificado</t>
        </is>
      </c>
      <c r="H70" t="inlineStr">
        <is>
          <t>Plan de Manejo Ambiental Específico para Instalación de Faenas Río Ventisquero, Rev. 1</t>
        </is>
      </c>
      <c r="I70" t="inlineStr">
        <is>
          <t>Plan de Manejo Ambiental Específico para Instalación de Faenas Río Ventisquero, Rev. 1</t>
        </is>
      </c>
      <c r="J70" t="inlineStr">
        <is>
          <t>Mensual</t>
        </is>
      </c>
      <c r="K70" t="inlineStr">
        <is>
          <t>Sin evidencia de caza</t>
        </is>
      </c>
      <c r="L70" t="inlineStr">
        <is>
          <t>Inducción y observación</t>
        </is>
      </c>
      <c r="M70" t="inlineStr">
        <is>
          <t>Prohibición cumplida</t>
        </is>
      </c>
      <c r="N70" t="inlineStr"/>
      <c r="O70" t="inlineStr"/>
      <c r="P70" t="inlineStr"/>
      <c r="Q70" t="inlineStr"/>
      <c r="R70" t="inlineStr"/>
      <c r="S70" t="inlineStr"/>
      <c r="T70" s="9" t="inlineStr"/>
      <c r="U70" t="inlineStr"/>
      <c r="V70" t="inlineStr"/>
      <c r="W70" s="9" t="inlineStr"/>
      <c r="X70" s="9" t="inlineStr"/>
      <c r="Y70">
        <f>SI(Y(W70&lt;&gt;"";X70="");HOY()-W70;SI(Y(W70&lt;&gt;"";X70&lt;&gt;"");X70-W70;""))</f>
        <v/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>
        <f>SI(N70="Cumple";Config!$B$9;SI(N70="Cumple parcialmente";Config!$B$10;SI(N70="No cumple";Config!$B$11;SI(N70="En proceso de regularización";Config!$B$12;SI(N70="No aplica";"NA";"PEND")))))</f>
        <v/>
      </c>
      <c r="AI70">
        <f>SI(AH70="NA";"NA";SI(AH70="PEND";"PEND";AH70*100))</f>
        <v/>
      </c>
      <c r="AJ70" t="inlineStr">
        <is>
          <t>Obligación contenida en el Plan de Manejo</t>
        </is>
      </c>
      <c r="AK70" t="inlineStr">
        <is>
          <t>Expreso en el Plan de Manejo</t>
        </is>
      </c>
    </row>
    <row r="71">
      <c r="A71" t="inlineStr">
        <is>
          <t>REQ-070</t>
        </is>
      </c>
      <c r="B71" t="inlineStr">
        <is>
          <t>Prohibición de caza y alimentación de fauna</t>
        </is>
      </c>
      <c r="C71" t="inlineStr">
        <is>
          <t>Alimentación fauna</t>
        </is>
      </c>
      <c r="D71" t="inlineStr">
        <is>
          <t>Operación</t>
        </is>
      </c>
      <c r="E71" t="inlineStr">
        <is>
          <t>Instalación completa</t>
        </is>
      </c>
      <c r="F71" t="inlineStr">
        <is>
          <t>Prohibición de alimentar fauna</t>
        </is>
      </c>
      <c r="G71" t="inlineStr">
        <is>
          <t>Sin alimentación de fauna silvestre</t>
        </is>
      </c>
      <c r="H71" t="inlineStr">
        <is>
          <t>Plan de Manejo Ambiental Específico para Instalación de Faenas Río Ventisquero, Rev. 1</t>
        </is>
      </c>
      <c r="I71" t="inlineStr">
        <is>
          <t>Plan de Manejo Ambiental Específico para Instalación de Faenas Río Ventisquero, Rev. 1</t>
        </is>
      </c>
      <c r="J71" t="inlineStr">
        <is>
          <t>Mensual</t>
        </is>
      </c>
      <c r="K71" t="inlineStr">
        <is>
          <t>Sin alimentación de fauna</t>
        </is>
      </c>
      <c r="L71" t="inlineStr">
        <is>
          <t>Inspección e inducción</t>
        </is>
      </c>
      <c r="M71" t="inlineStr">
        <is>
          <t>Prohibición cumplida</t>
        </is>
      </c>
      <c r="N71" t="inlineStr"/>
      <c r="O71" t="inlineStr"/>
      <c r="P71" t="inlineStr"/>
      <c r="Q71" t="inlineStr"/>
      <c r="R71" t="inlineStr"/>
      <c r="S71" t="inlineStr"/>
      <c r="T71" s="9" t="inlineStr"/>
      <c r="U71" t="inlineStr"/>
      <c r="V71" t="inlineStr"/>
      <c r="W71" s="9" t="inlineStr"/>
      <c r="X71" s="9" t="inlineStr"/>
      <c r="Y71">
        <f>SI(Y(W71&lt;&gt;"";X71="");HOY()-W71;SI(Y(W71&lt;&gt;"";X71&lt;&gt;"");X71-W71;""))</f>
        <v/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>
        <f>SI(N71="Cumple";Config!$B$9;SI(N71="Cumple parcialmente";Config!$B$10;SI(N71="No cumple";Config!$B$11;SI(N71="En proceso de regularización";Config!$B$12;SI(N71="No aplica";"NA";"PEND")))))</f>
        <v/>
      </c>
      <c r="AI71">
        <f>SI(AH71="NA";"NA";SI(AH71="PEND";"PEND";AH71*100))</f>
        <v/>
      </c>
      <c r="AJ71" t="inlineStr">
        <is>
          <t>Obligación contenida en el Plan de Manejo</t>
        </is>
      </c>
      <c r="AK71" t="inlineStr">
        <is>
          <t>Expreso en el Plan de Manejo</t>
        </is>
      </c>
    </row>
    <row r="72">
      <c r="A72" t="inlineStr">
        <is>
          <t>REQ-071</t>
        </is>
      </c>
      <c r="B72" t="inlineStr">
        <is>
          <t>Flora y fauna</t>
        </is>
      </c>
      <c r="C72" t="inlineStr">
        <is>
          <t>Flora</t>
        </is>
      </c>
      <c r="D72" t="inlineStr">
        <is>
          <t>Operación</t>
        </is>
      </c>
      <c r="E72" t="inlineStr">
        <is>
          <t>Perímetro instalación</t>
        </is>
      </c>
      <c r="F72" t="inlineStr">
        <is>
          <t>Prohibición de afectar flora sin autorización</t>
        </is>
      </c>
      <c r="G72" t="inlineStr">
        <is>
          <t>Sin intervención fuera del área autorizada</t>
        </is>
      </c>
      <c r="H72" t="inlineStr">
        <is>
          <t>Plan de Manejo Ambiental Específico para Instalación de Faenas Río Ventisquero, Rev. 1</t>
        </is>
      </c>
      <c r="I72" t="inlineStr">
        <is>
          <t>Plan de Manejo Ambiental Específico para Instalación de Faenas Río Ventisquero, Rev. 1</t>
        </is>
      </c>
      <c r="J72" t="inlineStr">
        <is>
          <t>Mensual</t>
        </is>
      </c>
      <c r="K72" t="inlineStr">
        <is>
          <t>Sin afectación no autorizada</t>
        </is>
      </c>
      <c r="L72" t="inlineStr">
        <is>
          <t>Inspección visual</t>
        </is>
      </c>
      <c r="M72" t="inlineStr">
        <is>
          <t>Flora protegida</t>
        </is>
      </c>
      <c r="N72" t="inlineStr"/>
      <c r="O72" t="inlineStr"/>
      <c r="P72" t="inlineStr"/>
      <c r="Q72" t="inlineStr"/>
      <c r="R72" t="inlineStr"/>
      <c r="S72" t="inlineStr"/>
      <c r="T72" s="9" t="inlineStr"/>
      <c r="U72" t="inlineStr"/>
      <c r="V72" t="inlineStr"/>
      <c r="W72" s="9" t="inlineStr"/>
      <c r="X72" s="9" t="inlineStr"/>
      <c r="Y72">
        <f>SI(Y(W72&lt;&gt;"";X72="");HOY()-W72;SI(Y(W72&lt;&gt;"";X72&lt;&gt;"");X72-W72;""))</f>
        <v/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>
        <f>SI(N72="Cumple";Config!$B$9;SI(N72="Cumple parcialmente";Config!$B$10;SI(N72="No cumple";Config!$B$11;SI(N72="En proceso de regularización";Config!$B$12;SI(N72="No aplica";"NA";"PEND")))))</f>
        <v/>
      </c>
      <c r="AI72">
        <f>SI(AH72="NA";"NA";SI(AH72="PEND";"PEND";AH72*100))</f>
        <v/>
      </c>
      <c r="AJ72" t="inlineStr">
        <is>
          <t>Obligación contenida en el Plan de Manejo</t>
        </is>
      </c>
      <c r="AK72" t="inlineStr">
        <is>
          <t>Expreso en el Plan de Manejo</t>
        </is>
      </c>
    </row>
    <row r="73">
      <c r="A73" t="inlineStr">
        <is>
          <t>REQ-072</t>
        </is>
      </c>
      <c r="B73" t="inlineStr">
        <is>
          <t>Patrimonio arqueológico</t>
        </is>
      </c>
      <c r="C73" t="inlineStr">
        <is>
          <t>Hallazgos</t>
        </is>
      </c>
      <c r="D73" t="inlineStr">
        <is>
          <t>Operación</t>
        </is>
      </c>
      <c r="E73" t="inlineStr">
        <is>
          <t>Instalación completa</t>
        </is>
      </c>
      <c r="F73" t="inlineStr">
        <is>
          <t>Ausencia de hallazgos arqueológicos o gestión conforme</t>
        </is>
      </c>
      <c r="G73" t="inlineStr">
        <is>
          <t>Procedimiento ante hallazgos disponible</t>
        </is>
      </c>
      <c r="H73" t="inlineStr">
        <is>
          <t>Plan de Manejo Ambiental Específico para Instalación de Faenas Río Ventisquero, Rev. 1</t>
        </is>
      </c>
      <c r="I73" t="inlineStr">
        <is>
          <t>Ley 17.288 / CMN</t>
        </is>
      </c>
      <c r="J73" t="inlineStr">
        <is>
          <t>Mensual</t>
        </is>
      </c>
      <c r="K73" t="inlineStr">
        <is>
          <t>Sin hallazgos o gestión conforme</t>
        </is>
      </c>
      <c r="L73" t="inlineStr">
        <is>
          <t>Inspección y revisión procedimiento</t>
        </is>
      </c>
      <c r="M73" t="inlineStr">
        <is>
          <t>Patrimonio protegido</t>
        </is>
      </c>
      <c r="N73" t="inlineStr"/>
      <c r="O73" t="inlineStr"/>
      <c r="P73" t="inlineStr"/>
      <c r="Q73" t="inlineStr"/>
      <c r="R73" t="inlineStr"/>
      <c r="S73" t="inlineStr"/>
      <c r="T73" s="9" t="inlineStr"/>
      <c r="U73" t="inlineStr"/>
      <c r="V73" t="inlineStr"/>
      <c r="W73" s="9" t="inlineStr"/>
      <c r="X73" s="9" t="inlineStr"/>
      <c r="Y73">
        <f>SI(Y(W73&lt;&gt;"";X73="");HOY()-W73;SI(Y(W73&lt;&gt;"";X73&lt;&gt;"");X73-W73;""))</f>
        <v/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>
        <f>SI(N73="Cumple";Config!$B$9;SI(N73="Cumple parcialmente";Config!$B$10;SI(N73="No cumple";Config!$B$11;SI(N73="En proceso de regularización";Config!$B$12;SI(N73="No aplica";"NA";"PEND")))))</f>
        <v/>
      </c>
      <c r="AI73">
        <f>SI(AH73="NA";"NA";SI(AH73="PEND";"PEND";AH73*100))</f>
        <v/>
      </c>
      <c r="AJ73" t="inlineStr">
        <is>
          <t>Exigencia legal o reglamentaria</t>
        </is>
      </c>
      <c r="AK73" t="inlineStr">
        <is>
          <t>Norma o permiso aplicable</t>
        </is>
      </c>
    </row>
    <row r="74">
      <c r="A74" t="inlineStr">
        <is>
          <t>REQ-073</t>
        </is>
      </c>
      <c r="B74" t="inlineStr">
        <is>
          <t>Capacitación e inducción ambiental</t>
        </is>
      </c>
      <c r="C74" t="inlineStr">
        <is>
          <t>Inducción</t>
        </is>
      </c>
      <c r="D74" t="inlineStr">
        <is>
          <t>Operación</t>
        </is>
      </c>
      <c r="E74" t="inlineStr">
        <is>
          <t>Instalación completa</t>
        </is>
      </c>
      <c r="F74" t="inlineStr">
        <is>
          <t>Registro de inducción al personal</t>
        </is>
      </c>
      <c r="G74" t="inlineStr">
        <is>
          <t>Personal inducido en materias ambientales</t>
        </is>
      </c>
      <c r="H74" t="inlineStr">
        <is>
          <t>Plan de Manejo Ambiental Específico para Instalación de Faenas Río Ventisquero, Rev. 1</t>
        </is>
      </c>
      <c r="I74" t="inlineStr">
        <is>
          <t>Plan de Manejo Ambiental Específico para Instalación de Faenas Río Ventisquero, Rev. 1</t>
        </is>
      </c>
      <c r="J74" t="inlineStr">
        <is>
          <t>Mensual</t>
        </is>
      </c>
      <c r="K74" t="inlineStr">
        <is>
          <t>Listas de asistencia vigentes</t>
        </is>
      </c>
      <c r="L74" t="inlineStr">
        <is>
          <t>Revisión documental</t>
        </is>
      </c>
      <c r="M74" t="inlineStr">
        <is>
          <t>Inducciones registradas</t>
        </is>
      </c>
      <c r="N74" t="inlineStr"/>
      <c r="O74" t="inlineStr"/>
      <c r="P74" t="inlineStr"/>
      <c r="Q74" t="inlineStr"/>
      <c r="R74" t="inlineStr"/>
      <c r="S74" t="inlineStr"/>
      <c r="T74" s="9" t="inlineStr"/>
      <c r="U74" t="inlineStr"/>
      <c r="V74" t="inlineStr"/>
      <c r="W74" s="9" t="inlineStr"/>
      <c r="X74" s="9" t="inlineStr"/>
      <c r="Y74">
        <f>SI(Y(W74&lt;&gt;"";X74="");HOY()-W74;SI(Y(W74&lt;&gt;"";X74&lt;&gt;"");X74-W74;""))</f>
        <v/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>
        <f>SI(N74="Cumple";Config!$B$9;SI(N74="Cumple parcialmente";Config!$B$10;SI(N74="No cumple";Config!$B$11;SI(N74="En proceso de regularización";Config!$B$12;SI(N74="No aplica";"NA";"PEND")))))</f>
        <v/>
      </c>
      <c r="AI74">
        <f>SI(AH74="NA";"NA";SI(AH74="PEND";"PEND";AH74*100))</f>
        <v/>
      </c>
      <c r="AJ74" t="inlineStr">
        <is>
          <t>Obligación contenida en el Plan de Manejo</t>
        </is>
      </c>
      <c r="AK74" t="inlineStr">
        <is>
          <t>Expreso en el Plan de Manejo</t>
        </is>
      </c>
    </row>
    <row r="75">
      <c r="A75" t="inlineStr">
        <is>
          <t>REQ-074</t>
        </is>
      </c>
      <c r="B75" t="inlineStr">
        <is>
          <t>Río Ventisquero</t>
        </is>
      </c>
      <c r="C75" t="inlineStr">
        <is>
          <t>Entorno</t>
        </is>
      </c>
      <c r="D75" t="inlineStr">
        <is>
          <t>Operación</t>
        </is>
      </c>
      <c r="E75" t="inlineStr">
        <is>
          <t>Perímetro río</t>
        </is>
      </c>
      <c r="F75" t="inlineStr">
        <is>
          <t>Protección del entorno del río Ventisquero</t>
        </is>
      </c>
      <c r="G75" t="inlineStr">
        <is>
          <t>Buenas prácticas en zona de interés turístico</t>
        </is>
      </c>
      <c r="H75" t="inlineStr">
        <is>
          <t>Plan de Manejo Ambiental Específico para Instalación de Faenas Río Ventisquero, Rev. 1</t>
        </is>
      </c>
      <c r="I75" t="inlineStr">
        <is>
          <t>Plan de Manejo Ambiental Específico para Instalación de Faenas Río Ventisquero, Rev. 1</t>
        </is>
      </c>
      <c r="J75" t="inlineStr">
        <is>
          <t>Mensual</t>
        </is>
      </c>
      <c r="K75" t="inlineStr">
        <is>
          <t>Entorno protegido</t>
        </is>
      </c>
      <c r="L75" t="inlineStr">
        <is>
          <t>Inspección visual</t>
        </is>
      </c>
      <c r="M75" t="inlineStr">
        <is>
          <t>Protección del entorno</t>
        </is>
      </c>
      <c r="N75" t="inlineStr"/>
      <c r="O75" t="inlineStr"/>
      <c r="P75" t="inlineStr"/>
      <c r="Q75" t="inlineStr"/>
      <c r="R75" t="inlineStr"/>
      <c r="S75" t="inlineStr"/>
      <c r="T75" s="9" t="inlineStr"/>
      <c r="U75" t="inlineStr"/>
      <c r="V75" t="inlineStr"/>
      <c r="W75" s="9" t="inlineStr"/>
      <c r="X75" s="9" t="inlineStr"/>
      <c r="Y75">
        <f>SI(Y(W75&lt;&gt;"";X75="");HOY()-W75;SI(Y(W75&lt;&gt;"";X75&lt;&gt;"");X75-W75;""))</f>
        <v/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>
        <f>SI(N75="Cumple";Config!$B$9;SI(N75="Cumple parcialmente";Config!$B$10;SI(N75="No cumple";Config!$B$11;SI(N75="En proceso de regularización";Config!$B$12;SI(N75="No aplica";"NA";"PEND")))))</f>
        <v/>
      </c>
      <c r="AI75">
        <f>SI(AH75="NA";"NA";SI(AH75="PEND";"PEND";AH75*100))</f>
        <v/>
      </c>
      <c r="AJ75" t="inlineStr">
        <is>
          <t>Obligación contenida en el Plan de Manejo</t>
        </is>
      </c>
      <c r="AK75" t="inlineStr">
        <is>
          <t>Expreso en el Plan de Manejo</t>
        </is>
      </c>
    </row>
    <row r="76">
      <c r="A76" t="inlineStr">
        <is>
          <t>REQ-075</t>
        </is>
      </c>
      <c r="B76" t="inlineStr">
        <is>
          <t>Relaciones con la comunidad</t>
        </is>
      </c>
      <c r="C76" t="inlineStr">
        <is>
          <t>Inducción</t>
        </is>
      </c>
      <c r="D76" t="inlineStr">
        <is>
          <t>Operación</t>
        </is>
      </c>
      <c r="E76" t="inlineStr">
        <is>
          <t>Instalación completa</t>
        </is>
      </c>
      <c r="F76" t="inlineStr">
        <is>
          <t>Inducción buenas prácticas con la comunidad</t>
        </is>
      </c>
      <c r="G76" t="inlineStr">
        <is>
          <t>Personal inducido en relación comunitaria</t>
        </is>
      </c>
      <c r="H76" t="inlineStr">
        <is>
          <t>Plan de Manejo Ambiental Específico para Instalación de Faenas Río Ventisquero, Rev. 1</t>
        </is>
      </c>
      <c r="I76" t="inlineStr">
        <is>
          <t>Plan de Manejo Ambiental Específico para Instalación de Faenas Río Ventisquero, Rev. 1</t>
        </is>
      </c>
      <c r="J76" t="inlineStr">
        <is>
          <t>Mensual</t>
        </is>
      </c>
      <c r="K76" t="inlineStr">
        <is>
          <t>Inducción realizada</t>
        </is>
      </c>
      <c r="L76" t="inlineStr">
        <is>
          <t>Revisión listas de asistencia</t>
        </is>
      </c>
      <c r="M76" t="inlineStr">
        <is>
          <t>Inducción comunitaria cumplida</t>
        </is>
      </c>
      <c r="N76" t="inlineStr"/>
      <c r="O76" t="inlineStr"/>
      <c r="P76" t="inlineStr"/>
      <c r="Q76" t="inlineStr"/>
      <c r="R76" t="inlineStr"/>
      <c r="S76" t="inlineStr"/>
      <c r="T76" s="9" t="inlineStr"/>
      <c r="U76" t="inlineStr"/>
      <c r="V76" t="inlineStr"/>
      <c r="W76" s="9" t="inlineStr"/>
      <c r="X76" s="9" t="inlineStr"/>
      <c r="Y76">
        <f>SI(Y(W76&lt;&gt;"";X76="");HOY()-W76;SI(Y(W76&lt;&gt;"";X76&lt;&gt;"");X76-W76;""))</f>
        <v/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>
        <f>SI(N76="Cumple";Config!$B$9;SI(N76="Cumple parcialmente";Config!$B$10;SI(N76="No cumple";Config!$B$11;SI(N76="En proceso de regularización";Config!$B$12;SI(N76="No aplica";"NA";"PEND")))))</f>
        <v/>
      </c>
      <c r="AI76">
        <f>SI(AH76="NA";"NA";SI(AH76="PEND";"PEND";AH76*100))</f>
        <v/>
      </c>
      <c r="AJ76" t="inlineStr">
        <is>
          <t>Obligación contenida en el Plan de Manejo</t>
        </is>
      </c>
      <c r="AK76" t="inlineStr">
        <is>
          <t>Expreso en el Plan de Manejo</t>
        </is>
      </c>
    </row>
    <row r="77">
      <c r="A77" t="inlineStr">
        <is>
          <t>REQ-076</t>
        </is>
      </c>
      <c r="B77" t="inlineStr">
        <is>
          <t>Relaciones con la comunidad</t>
        </is>
      </c>
      <c r="C77" t="inlineStr">
        <is>
          <t>Vecinos</t>
        </is>
      </c>
      <c r="D77" t="inlineStr">
        <is>
          <t>Operación</t>
        </is>
      </c>
      <c r="E77" t="inlineStr">
        <is>
          <t>Acceso/Puyuhuapi</t>
        </is>
      </c>
      <c r="F77" t="inlineStr">
        <is>
          <t>Respeto a vecinos y residentes de Puyuhuapi</t>
        </is>
      </c>
      <c r="G77" t="inlineStr">
        <is>
          <t>Conducta respetuosa del personal</t>
        </is>
      </c>
      <c r="H77" t="inlineStr">
        <is>
          <t>Plan de Manejo Ambiental Específico para Instalación de Faenas Río Ventisquero, Rev. 1</t>
        </is>
      </c>
      <c r="I77" t="inlineStr">
        <is>
          <t>Plan de Manejo Ambiental Específico para Instalación de Faenas Río Ventisquero, Rev. 1</t>
        </is>
      </c>
      <c r="J77" t="inlineStr">
        <is>
          <t>Mensual</t>
        </is>
      </c>
      <c r="K77" t="inlineStr">
        <is>
          <t>Sin conflictos registrados</t>
        </is>
      </c>
      <c r="L77" t="inlineStr">
        <is>
          <t>Revisión de reclamos</t>
        </is>
      </c>
      <c r="M77" t="inlineStr">
        <is>
          <t>Relación respetuosa</t>
        </is>
      </c>
      <c r="N77" t="inlineStr"/>
      <c r="O77" t="inlineStr"/>
      <c r="P77" t="inlineStr"/>
      <c r="Q77" t="inlineStr"/>
      <c r="R77" t="inlineStr"/>
      <c r="S77" t="inlineStr"/>
      <c r="T77" s="9" t="inlineStr"/>
      <c r="U77" t="inlineStr"/>
      <c r="V77" t="inlineStr"/>
      <c r="W77" s="9" t="inlineStr"/>
      <c r="X77" s="9" t="inlineStr"/>
      <c r="Y77">
        <f>SI(Y(W77&lt;&gt;"";X77="");HOY()-W77;SI(Y(W77&lt;&gt;"";X77&lt;&gt;"");X77-W77;""))</f>
        <v/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>
        <f>SI(N77="Cumple";Config!$B$9;SI(N77="Cumple parcialmente";Config!$B$10;SI(N77="No cumple";Config!$B$11;SI(N77="En proceso de regularización";Config!$B$12;SI(N77="No aplica";"NA";"PEND")))))</f>
        <v/>
      </c>
      <c r="AI77">
        <f>SI(AH77="NA";"NA";SI(AH77="PEND";"PEND";AH77*100))</f>
        <v/>
      </c>
      <c r="AJ77" t="inlineStr">
        <is>
          <t>Obligación contenida en el Plan de Manejo</t>
        </is>
      </c>
      <c r="AK77" t="inlineStr">
        <is>
          <t>Derivado del Plan de Manejo</t>
        </is>
      </c>
    </row>
    <row r="78">
      <c r="A78" t="inlineStr">
        <is>
          <t>REQ-077</t>
        </is>
      </c>
      <c r="B78" t="inlineStr">
        <is>
          <t>Relaciones con la comunidad</t>
        </is>
      </c>
      <c r="C78" t="inlineStr">
        <is>
          <t>Turismo</t>
        </is>
      </c>
      <c r="D78" t="inlineStr">
        <is>
          <t>Operación</t>
        </is>
      </c>
      <c r="E78" t="inlineStr">
        <is>
          <t>Acceso Queulat</t>
        </is>
      </c>
      <c r="F78" t="inlineStr">
        <is>
          <t>Respeto a visitantes Parque Nacional Queulat</t>
        </is>
      </c>
      <c r="G78" t="inlineStr">
        <is>
          <t>Conducta respetuosa en vías de acceso</t>
        </is>
      </c>
      <c r="H78" t="inlineStr">
        <is>
          <t>Plan de Manejo Ambiental Específico para Instalación de Faenas Río Ventisquero, Rev. 1</t>
        </is>
      </c>
      <c r="I78" t="inlineStr">
        <is>
          <t>Plan de Manejo Ambiental Específico para Instalación de Faenas Río Ventisquero, Rev. 1</t>
        </is>
      </c>
      <c r="J78" t="inlineStr">
        <is>
          <t>Mensual</t>
        </is>
      </c>
      <c r="K78" t="inlineStr">
        <is>
          <t>Sin incidentes con visitantes</t>
        </is>
      </c>
      <c r="L78" t="inlineStr">
        <is>
          <t>Revisión de reclamos</t>
        </is>
      </c>
      <c r="M78" t="inlineStr">
        <is>
          <t>Buenas prácticas turísticas</t>
        </is>
      </c>
      <c r="N78" t="inlineStr"/>
      <c r="O78" t="inlineStr"/>
      <c r="P78" t="inlineStr"/>
      <c r="Q78" t="inlineStr"/>
      <c r="R78" t="inlineStr"/>
      <c r="S78" t="inlineStr"/>
      <c r="T78" s="9" t="inlineStr"/>
      <c r="U78" t="inlineStr"/>
      <c r="V78" t="inlineStr"/>
      <c r="W78" s="9" t="inlineStr"/>
      <c r="X78" s="9" t="inlineStr"/>
      <c r="Y78">
        <f>SI(Y(W78&lt;&gt;"";X78="");HOY()-W78;SI(Y(W78&lt;&gt;"";X78&lt;&gt;"");X78-W78;""))</f>
        <v/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>
        <f>SI(N78="Cumple";Config!$B$9;SI(N78="Cumple parcialmente";Config!$B$10;SI(N78="No cumple";Config!$B$11;SI(N78="En proceso de regularización";Config!$B$12;SI(N78="No aplica";"NA";"PEND")))))</f>
        <v/>
      </c>
      <c r="AI78">
        <f>SI(AH78="NA";"NA";SI(AH78="PEND";"PEND";AH78*100))</f>
        <v/>
      </c>
      <c r="AJ78" t="inlineStr">
        <is>
          <t>Obligación contenida en el Plan de Manejo</t>
        </is>
      </c>
      <c r="AK78" t="inlineStr">
        <is>
          <t>Derivado del Plan de Manejo</t>
        </is>
      </c>
    </row>
    <row r="79">
      <c r="A79" t="inlineStr">
        <is>
          <t>REQ-078</t>
        </is>
      </c>
      <c r="B79" t="inlineStr">
        <is>
          <t>Relaciones con la comunidad</t>
        </is>
      </c>
      <c r="C79" t="inlineStr">
        <is>
          <t>Reclamos</t>
        </is>
      </c>
      <c r="D79" t="inlineStr">
        <is>
          <t>Operación</t>
        </is>
      </c>
      <c r="E79" t="inlineStr">
        <is>
          <t>Comunidad</t>
        </is>
      </c>
      <c r="F79" t="inlineStr">
        <is>
          <t>Registro de reclamos y respuestas comunitarias</t>
        </is>
      </c>
      <c r="G79" t="inlineStr">
        <is>
          <t>Reclamos registrados y respondidos</t>
        </is>
      </c>
      <c r="H79" t="inlineStr">
        <is>
          <t>Plan de Manejo Ambiental Específico para Instalación de Faenas Río Ventisquero, Rev. 1</t>
        </is>
      </c>
      <c r="I79" t="inlineStr">
        <is>
          <t>Plan de Manejo Ambiental Específico para Instalación de Faenas Río Ventisquero, Rev. 1</t>
        </is>
      </c>
      <c r="J79" t="inlineStr">
        <is>
          <t>Mensual</t>
        </is>
      </c>
      <c r="K79" t="inlineStr">
        <is>
          <t>Registro de reclamos actualizado</t>
        </is>
      </c>
      <c r="L79" t="inlineStr">
        <is>
          <t>Revisión documental</t>
        </is>
      </c>
      <c r="M79" t="inlineStr">
        <is>
          <t>Reclamos gestionados</t>
        </is>
      </c>
      <c r="N79" t="inlineStr"/>
      <c r="O79" t="inlineStr"/>
      <c r="P79" t="inlineStr"/>
      <c r="Q79" t="inlineStr"/>
      <c r="R79" t="inlineStr"/>
      <c r="S79" t="inlineStr"/>
      <c r="T79" s="9" t="inlineStr"/>
      <c r="U79" t="inlineStr"/>
      <c r="V79" t="inlineStr"/>
      <c r="W79" s="9" t="inlineStr"/>
      <c r="X79" s="9" t="inlineStr"/>
      <c r="Y79">
        <f>SI(Y(W79&lt;&gt;"";X79="");HOY()-W79;SI(Y(W79&lt;&gt;"";X79&lt;&gt;"");X79-W79;""))</f>
        <v/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>
        <f>SI(N79="Cumple";Config!$B$9;SI(N79="Cumple parcialmente";Config!$B$10;SI(N79="No cumple";Config!$B$11;SI(N79="En proceso de regularización";Config!$B$12;SI(N79="No aplica";"NA";"PEND")))))</f>
        <v/>
      </c>
      <c r="AI79">
        <f>SI(AH79="NA";"NA";SI(AH79="PEND";"PEND";AH79*100))</f>
        <v/>
      </c>
      <c r="AJ79" t="inlineStr">
        <is>
          <t>Obligación contenida en el Plan de Manejo</t>
        </is>
      </c>
      <c r="AK79" t="inlineStr">
        <is>
          <t>Derivado del Plan de Manejo</t>
        </is>
      </c>
    </row>
    <row r="80">
      <c r="A80" t="inlineStr">
        <is>
          <t>REQ-079</t>
        </is>
      </c>
      <c r="B80" t="inlineStr">
        <is>
          <t>Contratación de mano de obra local</t>
        </is>
      </c>
      <c r="C80" t="inlineStr">
        <is>
          <t>Empleo local</t>
        </is>
      </c>
      <c r="D80" t="inlineStr">
        <is>
          <t>Operación</t>
        </is>
      </c>
      <c r="E80" t="inlineStr">
        <is>
          <t>RRHH</t>
        </is>
      </c>
      <c r="F80" t="inlineStr">
        <is>
          <t>Contratación de mano de obra local cuando corresponda</t>
        </is>
      </c>
      <c r="G80" t="inlineStr">
        <is>
          <t>Cumplimiento de compromiso de empleo local</t>
        </is>
      </c>
      <c r="H80" t="inlineStr">
        <is>
          <t>Plan de Manejo Ambiental Específico para Instalación de Faenas Río Ventisquero, Rev. 1</t>
        </is>
      </c>
      <c r="I80" t="inlineStr">
        <is>
          <t>Bases contractuales</t>
        </is>
      </c>
      <c r="J80" t="inlineStr">
        <is>
          <t>Mensual</t>
        </is>
      </c>
      <c r="K80" t="inlineStr">
        <is>
          <t>Registro de contrataciones locales</t>
        </is>
      </c>
      <c r="L80" t="inlineStr">
        <is>
          <t>Revisión documental</t>
        </is>
      </c>
      <c r="M80" t="inlineStr">
        <is>
          <t>Compromiso verificado</t>
        </is>
      </c>
      <c r="N80" t="inlineStr"/>
      <c r="O80" t="inlineStr"/>
      <c r="P80" t="inlineStr"/>
      <c r="Q80" t="inlineStr"/>
      <c r="R80" t="inlineStr"/>
      <c r="S80" t="inlineStr"/>
      <c r="T80" s="9" t="inlineStr"/>
      <c r="U80" t="inlineStr"/>
      <c r="V80" t="inlineStr"/>
      <c r="W80" s="9" t="inlineStr"/>
      <c r="X80" s="9" t="inlineStr"/>
      <c r="Y80">
        <f>SI(Y(W80&lt;&gt;"";X80="");HOY()-W80;SI(Y(W80&lt;&gt;"";X80&lt;&gt;"");X80-W80;""))</f>
        <v/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>
        <f>SI(N80="Cumple";Config!$B$9;SI(N80="Cumple parcialmente";Config!$B$10;SI(N80="No cumple";Config!$B$11;SI(N80="En proceso de regularización";Config!$B$12;SI(N80="No aplica";"NA";"PEND")))))</f>
        <v/>
      </c>
      <c r="AI80">
        <f>SI(AH80="NA";"NA";SI(AH80="PEND";"PEND";AH80*100))</f>
        <v/>
      </c>
      <c r="AJ80" t="inlineStr">
        <is>
          <t>Compromiso contractual</t>
        </is>
      </c>
      <c r="AK80" t="inlineStr">
        <is>
          <t>Requiere validación</t>
        </is>
      </c>
    </row>
    <row r="81">
      <c r="A81" t="inlineStr">
        <is>
          <t>REQ-080</t>
        </is>
      </c>
      <c r="B81" t="inlineStr">
        <is>
          <t>ZOIT Aysén Patagonia Queulat</t>
        </is>
      </c>
      <c r="C81" t="inlineStr">
        <is>
          <t>Cumplimiento ZOIT</t>
        </is>
      </c>
      <c r="D81" t="inlineStr">
        <is>
          <t>Operación</t>
        </is>
      </c>
      <c r="E81" t="inlineStr">
        <is>
          <t>Instalación completa</t>
        </is>
      </c>
      <c r="F81" t="inlineStr">
        <is>
          <t>Cumplimiento disposiciones ZOIT cuando aplique</t>
        </is>
      </c>
      <c r="G81" t="inlineStr">
        <is>
          <t>Actividades conforme a zona de interés turístico</t>
        </is>
      </c>
      <c r="H81" t="inlineStr">
        <is>
          <t>Plan de Manejo Ambiental Específico para Instalación de Faenas Río Ventisquero, Rev. 1</t>
        </is>
      </c>
      <c r="I81" t="inlineStr">
        <is>
          <t>Validar con normativa vigente o autoridad competente</t>
        </is>
      </c>
      <c r="J81" t="inlineStr">
        <is>
          <t>Mensual</t>
        </is>
      </c>
      <c r="K81" t="inlineStr">
        <is>
          <t>Sin infracciones ZOIT</t>
        </is>
      </c>
      <c r="L81" t="inlineStr">
        <is>
          <t>Revisión normativa y observación</t>
        </is>
      </c>
      <c r="M81" t="inlineStr">
        <is>
          <t>Cumplimiento ZOIT</t>
        </is>
      </c>
      <c r="N81" t="inlineStr"/>
      <c r="O81" t="inlineStr"/>
      <c r="P81" t="inlineStr"/>
      <c r="Q81" t="inlineStr"/>
      <c r="R81" t="inlineStr"/>
      <c r="S81" t="inlineStr"/>
      <c r="T81" s="9" t="inlineStr"/>
      <c r="U81" t="inlineStr"/>
      <c r="V81" t="inlineStr"/>
      <c r="W81" s="9" t="inlineStr"/>
      <c r="X81" s="9" t="inlineStr"/>
      <c r="Y81">
        <f>SI(Y(W81&lt;&gt;"";X81="");HOY()-W81;SI(Y(W81&lt;&gt;"";X81&lt;&gt;"");X81-W81;""))</f>
        <v/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>
        <f>SI(N81="Cumple";Config!$B$9;SI(N81="Cumple parcialmente";Config!$B$10;SI(N81="No cumple";Config!$B$11;SI(N81="En proceso de regularización";Config!$B$12;SI(N81="No aplica";"NA";"PEND")))))</f>
        <v/>
      </c>
      <c r="AI81">
        <f>SI(AH81="NA";"NA";SI(AH81="PEND";"PEND";AH81*100))</f>
        <v/>
      </c>
      <c r="AJ81" t="inlineStr">
        <is>
          <t>Exigencia legal o reglamentaria</t>
        </is>
      </c>
      <c r="AK81" t="inlineStr">
        <is>
          <t>Requiere validación</t>
        </is>
      </c>
    </row>
    <row r="82">
      <c r="A82" t="inlineStr">
        <is>
          <t>REQ-081</t>
        </is>
      </c>
      <c r="B82" t="inlineStr">
        <is>
          <t>Abandono y cierre de la instalación</t>
        </is>
      </c>
      <c r="C82" t="inlineStr">
        <is>
          <t>Retiro instalaciones</t>
        </is>
      </c>
      <c r="D82" t="inlineStr">
        <is>
          <t>Cierre</t>
        </is>
      </c>
      <c r="E82" t="inlineStr">
        <is>
          <t>Instalación completa</t>
        </is>
      </c>
      <c r="F82" t="inlineStr">
        <is>
          <t>Retiro de instalaciones al cierre</t>
        </is>
      </c>
      <c r="G82" t="inlineStr">
        <is>
          <t>Cuando corresponda, retiro conforme al PMA</t>
        </is>
      </c>
      <c r="H82" t="inlineStr">
        <is>
          <t>Plan de Manejo Ambiental Específico para Instalación de Faenas Río Ventisquero, Rev. 1</t>
        </is>
      </c>
      <c r="I82" t="inlineStr">
        <is>
          <t>Plan de Manejo Ambiental Específico para Instalación de Faenas Río Ventisquero, Rev. 1</t>
        </is>
      </c>
      <c r="J82" t="inlineStr">
        <is>
          <t>Eventual</t>
        </is>
      </c>
      <c r="K82" t="inlineStr">
        <is>
          <t>Retiro conforme plan de cierre</t>
        </is>
      </c>
      <c r="L82" t="inlineStr">
        <is>
          <t>Inspección visual</t>
        </is>
      </c>
      <c r="M82" t="inlineStr">
        <is>
          <t>Cierre progresivo conforme</t>
        </is>
      </c>
      <c r="N82" t="inlineStr"/>
      <c r="O82" t="inlineStr"/>
      <c r="P82" t="inlineStr"/>
      <c r="Q82" t="inlineStr"/>
      <c r="R82" t="inlineStr"/>
      <c r="S82" t="inlineStr"/>
      <c r="T82" s="9" t="inlineStr"/>
      <c r="U82" t="inlineStr"/>
      <c r="V82" t="inlineStr"/>
      <c r="W82" s="9" t="inlineStr"/>
      <c r="X82" s="9" t="inlineStr"/>
      <c r="Y82">
        <f>SI(Y(W82&lt;&gt;"";X82="");HOY()-W82;SI(Y(W82&lt;&gt;"";X82&lt;&gt;"");X82-W82;""))</f>
        <v/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>
        <f>SI(N82="Cumple";Config!$B$9;SI(N82="Cumple parcialmente";Config!$B$10;SI(N82="No cumple";Config!$B$11;SI(N82="En proceso de regularización";Config!$B$12;SI(N82="No aplica";"NA";"PEND")))))</f>
        <v/>
      </c>
      <c r="AI82">
        <f>SI(AH82="NA";"NA";SI(AH82="PEND";"PEND";AH82*100))</f>
        <v/>
      </c>
      <c r="AJ82" t="inlineStr">
        <is>
          <t>Obligación contenida en el Plan de Manejo</t>
        </is>
      </c>
      <c r="AK82" t="inlineStr">
        <is>
          <t>Expreso en el Plan de Manejo</t>
        </is>
      </c>
    </row>
    <row r="83">
      <c r="A83" t="inlineStr">
        <is>
          <t>REQ-082</t>
        </is>
      </c>
      <c r="B83" t="inlineStr">
        <is>
          <t>Abandono y cierre de la instalación</t>
        </is>
      </c>
      <c r="C83" t="inlineStr">
        <is>
          <t>Restitución terreno</t>
        </is>
      </c>
      <c r="D83" t="inlineStr">
        <is>
          <t>Cierre</t>
        </is>
      </c>
      <c r="E83" t="inlineStr">
        <is>
          <t>Terreno 1,6 ha</t>
        </is>
      </c>
      <c r="F83" t="inlineStr">
        <is>
          <t>Nivelación y restitución del terreno</t>
        </is>
      </c>
      <c r="G83" t="inlineStr">
        <is>
          <t>Terreno restituido según compromiso</t>
        </is>
      </c>
      <c r="H83" t="inlineStr">
        <is>
          <t>Plan de Manejo Ambiental Específico para Instalación de Faenas Río Ventisquero, Rev. 1</t>
        </is>
      </c>
      <c r="I83" t="inlineStr">
        <is>
          <t>Plan de Manejo Ambiental Específico para Instalación de Faenas Río Ventisquero, Rev. 1</t>
        </is>
      </c>
      <c r="J83" t="inlineStr">
        <is>
          <t>Eventual</t>
        </is>
      </c>
      <c r="K83" t="inlineStr">
        <is>
          <t>Restitución conforme</t>
        </is>
      </c>
      <c r="L83" t="inlineStr">
        <is>
          <t>Inspección y acta</t>
        </is>
      </c>
      <c r="M83" t="inlineStr">
        <is>
          <t>Terreno restituido</t>
        </is>
      </c>
      <c r="N83" t="inlineStr"/>
      <c r="O83" t="inlineStr"/>
      <c r="P83" t="inlineStr"/>
      <c r="Q83" t="inlineStr"/>
      <c r="R83" t="inlineStr"/>
      <c r="S83" t="inlineStr"/>
      <c r="T83" s="9" t="inlineStr"/>
      <c r="U83" t="inlineStr"/>
      <c r="V83" t="inlineStr"/>
      <c r="W83" s="9" t="inlineStr"/>
      <c r="X83" s="9" t="inlineStr"/>
      <c r="Y83">
        <f>SI(Y(W83&lt;&gt;"";X83="");HOY()-W83;SI(Y(W83&lt;&gt;"";X83&lt;&gt;"");X83-W83;""))</f>
        <v/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>
        <f>SI(N83="Cumple";Config!$B$9;SI(N83="Cumple parcialmente";Config!$B$10;SI(N83="No cumple";Config!$B$11;SI(N83="En proceso de regularización";Config!$B$12;SI(N83="No aplica";"NA";"PEND")))))</f>
        <v/>
      </c>
      <c r="AI83">
        <f>SI(AH83="NA";"NA";SI(AH83="PEND";"PEND";AH83*100))</f>
        <v/>
      </c>
      <c r="AJ83" t="inlineStr">
        <is>
          <t>Obligación contenida en el Plan de Manejo</t>
        </is>
      </c>
      <c r="AK83" t="inlineStr">
        <is>
          <t>Expreso en el Plan de Manejo</t>
        </is>
      </c>
    </row>
    <row r="84">
      <c r="A84" t="inlineStr">
        <is>
          <t>REQ-083</t>
        </is>
      </c>
      <c r="B84" t="inlineStr">
        <is>
          <t>Abandono y cierre de la instalación</t>
        </is>
      </c>
      <c r="C84" t="inlineStr">
        <is>
          <t>Informe cierre</t>
        </is>
      </c>
      <c r="D84" t="inlineStr">
        <is>
          <t>Cierre</t>
        </is>
      </c>
      <c r="E84" t="inlineStr">
        <is>
          <t>Oficina ambiental</t>
        </is>
      </c>
      <c r="F84" t="inlineStr">
        <is>
          <t>Entrega informe de cierre al Inspector Fiscal</t>
        </is>
      </c>
      <c r="G84" t="inlineStr">
        <is>
          <t>Informe de cierre elaborado y entregado</t>
        </is>
      </c>
      <c r="H84" t="inlineStr">
        <is>
          <t>Plan de Manejo Ambiental Específico para Instalación de Faenas Río Ventisquero, Rev. 1</t>
        </is>
      </c>
      <c r="I84" t="inlineStr">
        <is>
          <t>Bases contractuales</t>
        </is>
      </c>
      <c r="J84" t="inlineStr">
        <is>
          <t>Eventual</t>
        </is>
      </c>
      <c r="K84" t="inlineStr">
        <is>
          <t>Informe entregado con folio</t>
        </is>
      </c>
      <c r="L84" t="inlineStr">
        <is>
          <t>Revisión documental</t>
        </is>
      </c>
      <c r="M84" t="inlineStr">
        <is>
          <t>Cierre documentado</t>
        </is>
      </c>
      <c r="N84" t="inlineStr"/>
      <c r="O84" t="inlineStr"/>
      <c r="P84" t="inlineStr"/>
      <c r="Q84" t="inlineStr"/>
      <c r="R84" t="inlineStr"/>
      <c r="S84" t="inlineStr"/>
      <c r="T84" s="9" t="inlineStr"/>
      <c r="U84" t="inlineStr"/>
      <c r="V84" t="inlineStr"/>
      <c r="W84" s="9" t="inlineStr"/>
      <c r="X84" s="9" t="inlineStr"/>
      <c r="Y84">
        <f>SI(Y(W84&lt;&gt;"";X84="");HOY()-W84;SI(Y(W84&lt;&gt;"";X84&lt;&gt;"");X84-W84;""))</f>
        <v/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>
        <f>SI(N84="Cumple";Config!$B$9;SI(N84="Cumple parcialmente";Config!$B$10;SI(N84="No cumple";Config!$B$11;SI(N84="En proceso de regularización";Config!$B$12;SI(N84="No aplica";"NA";"PEND")))))</f>
        <v/>
      </c>
      <c r="AI84">
        <f>SI(AH84="NA";"NA";SI(AH84="PEND";"PEND";AH84*100))</f>
        <v/>
      </c>
      <c r="AJ84" t="inlineStr">
        <is>
          <t>Compromiso contractual</t>
        </is>
      </c>
      <c r="AK84" t="inlineStr">
        <is>
          <t>Derivado del Plan de Manejo</t>
        </is>
      </c>
    </row>
  </sheetData>
  <conditionalFormatting sqref="N2:N134">
    <cfRule type="cellIs" priority="1" operator="equal" dxfId="0">
      <formula>"Cumple"</formula>
    </cfRule>
    <cfRule type="cellIs" priority="2" operator="equal" dxfId="1">
      <formula>"Cumple parcialmente"</formula>
    </cfRule>
    <cfRule type="cellIs" priority="3" operator="equal" dxfId="2">
      <formula>"No cumple"</formula>
    </cfRule>
    <cfRule type="cellIs" priority="4" operator="equal" dxfId="3">
      <formula>"Pendiente de verificación"</formula>
    </cfRule>
  </conditionalFormatting>
  <dataValidations count="7">
    <dataValidation sqref="N2:N134" showDropDown="0" showInputMessage="0" showErrorMessage="0" allowBlank="1" errorTitle="Valor no válido" error="Seleccione un valor de la lista" type="list">
      <formula1>'_Listas'!$B$2:$B$7</formula1>
    </dataValidation>
    <dataValidation sqref="O2:O134" showDropDown="0" showInputMessage="0" showErrorMessage="0" allowBlank="1" errorTitle="Valor no válido" error="Seleccione un valor de la lista" type="list">
      <formula1>'_Listas'!$C$2:$C$7</formula1>
    </dataValidation>
    <dataValidation sqref="Q2:Q134" showDropDown="0" showInputMessage="0" showErrorMessage="0" allowBlank="1" errorTitle="Valor no válido" error="Seleccione un valor de la lista" type="list">
      <formula1>'_Listas'!$E$2:$E$12</formula1>
    </dataValidation>
    <dataValidation sqref="U2:U134" showDropDown="0" showInputMessage="0" showErrorMessage="0" allowBlank="1" errorTitle="Valor no válido" error="Seleccione un valor de la lista" type="list">
      <formula1>'_Listas'!$O$2:$O$8</formula1>
    </dataValidation>
    <dataValidation sqref="V2:V134" showDropDown="0" showInputMessage="0" showErrorMessage="0" allowBlank="1" errorTitle="Valor no válido" error="Seleccione un valor de la lista" type="list">
      <formula1>'_Listas'!$O$2:$O$8</formula1>
    </dataValidation>
    <dataValidation sqref="AA2:AA134" showDropDown="0" showInputMessage="0" showErrorMessage="0" allowBlank="1" errorTitle="Valor no válido" error="Seleccione un valor de la lista" type="list">
      <formula1>'_Listas'!$D$2:$D$6</formula1>
    </dataValidation>
    <dataValidation sqref="AC2:AC134" showDropDown="0" showInputMessage="0" showErrorMessage="0" allowBlank="1" errorTitle="Valor no válido" error="Seleccione un valor de la lista" type="list">
      <formula1>'_Listas'!$J$2:$J$3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14" customWidth="1" min="4" max="4"/>
    <col width="22" customWidth="1" min="5" max="5"/>
    <col width="22" customWidth="1" min="6" max="6"/>
    <col width="20" customWidth="1" min="7" max="7"/>
    <col width="16" customWidth="1" min="8" max="8"/>
    <col width="18" customWidth="1" min="9" max="9"/>
    <col width="22" customWidth="1" min="10" max="10"/>
    <col width="18" customWidth="1" min="11" max="11"/>
    <col width="30" customWidth="1" min="12" max="12"/>
    <col width="13" customWidth="1" min="13" max="13"/>
    <col width="20" customWidth="1" min="14" max="14"/>
    <col width="14" customWidth="1" min="15" max="15"/>
    <col width="8" customWidth="1" min="16" max="16"/>
    <col width="45" customWidth="1" min="17" max="17"/>
    <col width="45" customWidth="1" min="18" max="18"/>
    <col width="23" customWidth="1" min="19" max="19"/>
    <col width="30" customWidth="1" min="20" max="20"/>
    <col width="18" customWidth="1" min="21" max="21"/>
    <col width="20" customWidth="1" min="22" max="22"/>
    <col width="20" customWidth="1" min="23" max="23"/>
    <col width="15" customWidth="1" min="24" max="24"/>
  </cols>
  <sheetData>
    <row r="1">
      <c r="A1" s="8" t="inlineStr">
        <is>
          <t>ID hallazgo</t>
        </is>
      </c>
      <c r="B1" s="8" t="inlineStr">
        <is>
          <t>Fecha detección</t>
        </is>
      </c>
      <c r="C1" s="8" t="inlineStr">
        <is>
          <t>Mes auditoría</t>
        </is>
      </c>
      <c r="D1" s="8" t="inlineStr">
        <is>
          <t>ID requisito</t>
        </is>
      </c>
      <c r="E1" s="8" t="inlineStr">
        <is>
          <t>Componente ambiental</t>
        </is>
      </c>
      <c r="F1" s="8" t="inlineStr">
        <is>
          <t>Descripción hallazgo</t>
        </is>
      </c>
      <c r="G1" s="8" t="inlineStr">
        <is>
          <t>Evidencia objetiva</t>
        </is>
      </c>
      <c r="H1" s="8" t="inlineStr">
        <is>
          <t>Nivel hallazgo</t>
        </is>
      </c>
      <c r="I1" s="8" t="inlineStr">
        <is>
          <t>Riesgo ambiental</t>
        </is>
      </c>
      <c r="J1" s="8" t="inlineStr">
        <is>
          <t>Requisito incumplido</t>
        </is>
      </c>
      <c r="K1" s="8" t="inlineStr">
        <is>
          <t>Acción inmediata</t>
        </is>
      </c>
      <c r="L1" s="8" t="inlineStr">
        <is>
          <t>Acción correctiva definitiva</t>
        </is>
      </c>
      <c r="M1" s="8" t="inlineStr">
        <is>
          <t>Responsable</t>
        </is>
      </c>
      <c r="N1" s="8" t="inlineStr">
        <is>
          <t>Fecha comprometida</t>
        </is>
      </c>
      <c r="O1" s="8" t="inlineStr">
        <is>
          <t>Fecha cierre</t>
        </is>
      </c>
      <c r="P1" s="8" t="inlineStr">
        <is>
          <t>Estado</t>
        </is>
      </c>
      <c r="Q1" s="8" t="inlineStr">
        <is>
          <t>Días abiertos</t>
        </is>
      </c>
      <c r="R1" s="8" t="inlineStr">
        <is>
          <t>Días atraso</t>
        </is>
      </c>
      <c r="S1" s="8" t="inlineStr">
        <is>
          <t>Verificación eficacia</t>
        </is>
      </c>
      <c r="T1" s="8" t="inlineStr">
        <is>
          <t>Responsable verificar cierre</t>
        </is>
      </c>
      <c r="U1" s="8" t="inlineStr">
        <is>
          <t>Evidencia cierre</t>
        </is>
      </c>
      <c r="V1" s="8" t="inlineStr">
        <is>
          <t>Comunicar mandante</t>
        </is>
      </c>
      <c r="W1" s="8" t="inlineStr">
        <is>
          <t>Folio comunicación</t>
        </is>
      </c>
      <c r="X1" s="8" t="inlineStr">
        <is>
          <t>Observaciones</t>
        </is>
      </c>
    </row>
    <row r="2">
      <c r="A2" t="inlineStr">
        <is>
          <t>HAL-001</t>
        </is>
      </c>
      <c r="B2" s="9" t="n"/>
      <c r="C2">
        <f>Config!B2</f>
        <v/>
      </c>
      <c r="N2" s="9" t="n"/>
      <c r="O2" s="9" t="n"/>
      <c r="Q2">
        <f>SI(Y(B2&lt;&gt;"";O2="");HOY()-B2;SI(Y(B2&lt;&gt;"";O2&lt;&gt;"");O2-B2;""))</f>
        <v/>
      </c>
      <c r="R2">
        <f>SI(Y(N2&lt;&gt;"";O2="");HOY()-N2;SI(Y(N2&lt;&gt;"";O2&lt;&gt;"");O2-N2;""))</f>
        <v/>
      </c>
    </row>
    <row r="3">
      <c r="A3" t="inlineStr">
        <is>
          <t>HAL-002</t>
        </is>
      </c>
      <c r="B3" s="9" t="n"/>
      <c r="C3">
        <f>Config!B2</f>
        <v/>
      </c>
      <c r="N3" s="9" t="n"/>
      <c r="O3" s="9" t="n"/>
      <c r="Q3">
        <f>SI(Y(B3&lt;&gt;"";O3="");HOY()-B3;SI(Y(B3&lt;&gt;"";O3&lt;&gt;"");O3-B3;""))</f>
        <v/>
      </c>
      <c r="R3">
        <f>SI(Y(N3&lt;&gt;"";O3="");HOY()-N3;SI(Y(N3&lt;&gt;"";O3&lt;&gt;"");O3-N3;""))</f>
        <v/>
      </c>
    </row>
    <row r="4">
      <c r="A4" t="inlineStr">
        <is>
          <t>HAL-003</t>
        </is>
      </c>
      <c r="B4" s="9" t="n"/>
      <c r="C4">
        <f>Config!B2</f>
        <v/>
      </c>
      <c r="N4" s="9" t="n"/>
      <c r="O4" s="9" t="n"/>
      <c r="Q4">
        <f>SI(Y(B4&lt;&gt;"";O4="");HOY()-B4;SI(Y(B4&lt;&gt;"";O4&lt;&gt;"");O4-B4;""))</f>
        <v/>
      </c>
      <c r="R4">
        <f>SI(Y(N4&lt;&gt;"";O4="");HOY()-N4;SI(Y(N4&lt;&gt;"";O4&lt;&gt;"");O4-N4;""))</f>
        <v/>
      </c>
    </row>
    <row r="5">
      <c r="A5" t="inlineStr">
        <is>
          <t>HAL-004</t>
        </is>
      </c>
      <c r="B5" s="9" t="n"/>
      <c r="C5">
        <f>Config!B2</f>
        <v/>
      </c>
      <c r="N5" s="9" t="n"/>
      <c r="O5" s="9" t="n"/>
      <c r="Q5">
        <f>SI(Y(B5&lt;&gt;"";O5="");HOY()-B5;SI(Y(B5&lt;&gt;"";O5&lt;&gt;"");O5-B5;""))</f>
        <v/>
      </c>
      <c r="R5">
        <f>SI(Y(N5&lt;&gt;"";O5="");HOY()-N5;SI(Y(N5&lt;&gt;"";O5&lt;&gt;"");O5-N5;""))</f>
        <v/>
      </c>
    </row>
    <row r="6">
      <c r="A6" t="inlineStr">
        <is>
          <t>HAL-005</t>
        </is>
      </c>
      <c r="B6" s="9" t="n"/>
      <c r="C6">
        <f>Config!B2</f>
        <v/>
      </c>
      <c r="N6" s="9" t="n"/>
      <c r="O6" s="9" t="n"/>
      <c r="Q6">
        <f>SI(Y(B6&lt;&gt;"";O6="");HOY()-B6;SI(Y(B6&lt;&gt;"";O6&lt;&gt;"");O6-B6;""))</f>
        <v/>
      </c>
      <c r="R6">
        <f>SI(Y(N6&lt;&gt;"";O6="");HOY()-N6;SI(Y(N6&lt;&gt;"";O6&lt;&gt;"");O6-N6;""))</f>
        <v/>
      </c>
    </row>
    <row r="7">
      <c r="A7" t="inlineStr">
        <is>
          <t>HAL-006</t>
        </is>
      </c>
      <c r="B7" s="9" t="n"/>
      <c r="C7">
        <f>Config!B2</f>
        <v/>
      </c>
      <c r="N7" s="9" t="n"/>
      <c r="O7" s="9" t="n"/>
      <c r="Q7">
        <f>SI(Y(B7&lt;&gt;"";O7="");HOY()-B7;SI(Y(B7&lt;&gt;"";O7&lt;&gt;"");O7-B7;""))</f>
        <v/>
      </c>
      <c r="R7">
        <f>SI(Y(N7&lt;&gt;"";O7="");HOY()-N7;SI(Y(N7&lt;&gt;"";O7&lt;&gt;"");O7-N7;""))</f>
        <v/>
      </c>
    </row>
    <row r="8">
      <c r="A8" t="inlineStr">
        <is>
          <t>HAL-007</t>
        </is>
      </c>
      <c r="B8" s="9" t="n"/>
      <c r="C8">
        <f>Config!B2</f>
        <v/>
      </c>
      <c r="N8" s="9" t="n"/>
      <c r="O8" s="9" t="n"/>
      <c r="Q8">
        <f>SI(Y(B8&lt;&gt;"";O8="");HOY()-B8;SI(Y(B8&lt;&gt;"";O8&lt;&gt;"");O8-B8;""))</f>
        <v/>
      </c>
      <c r="R8">
        <f>SI(Y(N8&lt;&gt;"";O8="");HOY()-N8;SI(Y(N8&lt;&gt;"";O8&lt;&gt;"");O8-N8;""))</f>
        <v/>
      </c>
    </row>
    <row r="9">
      <c r="A9" t="inlineStr">
        <is>
          <t>HAL-008</t>
        </is>
      </c>
      <c r="B9" s="9" t="n"/>
      <c r="C9">
        <f>Config!B2</f>
        <v/>
      </c>
      <c r="N9" s="9" t="n"/>
      <c r="O9" s="9" t="n"/>
      <c r="Q9">
        <f>SI(Y(B9&lt;&gt;"";O9="");HOY()-B9;SI(Y(B9&lt;&gt;"";O9&lt;&gt;"");O9-B9;""))</f>
        <v/>
      </c>
      <c r="R9">
        <f>SI(Y(N9&lt;&gt;"";O9="");HOY()-N9;SI(Y(N9&lt;&gt;"";O9&lt;&gt;"");O9-N9;""))</f>
        <v/>
      </c>
    </row>
    <row r="10">
      <c r="A10" t="inlineStr">
        <is>
          <t>HAL-009</t>
        </is>
      </c>
      <c r="B10" s="9" t="n"/>
      <c r="C10">
        <f>Config!B2</f>
        <v/>
      </c>
      <c r="N10" s="9" t="n"/>
      <c r="O10" s="9" t="n"/>
      <c r="Q10">
        <f>SI(Y(B10&lt;&gt;"";O10="");HOY()-B10;SI(Y(B10&lt;&gt;"";O10&lt;&gt;"");O10-B10;""))</f>
        <v/>
      </c>
      <c r="R10">
        <f>SI(Y(N10&lt;&gt;"";O10="");HOY()-N10;SI(Y(N10&lt;&gt;"";O10&lt;&gt;"");O10-N10;""))</f>
        <v/>
      </c>
    </row>
    <row r="11">
      <c r="A11" t="inlineStr">
        <is>
          <t>HAL-010</t>
        </is>
      </c>
      <c r="B11" s="9" t="n"/>
      <c r="C11">
        <f>Config!B2</f>
        <v/>
      </c>
      <c r="N11" s="9" t="n"/>
      <c r="O11" s="9" t="n"/>
      <c r="Q11">
        <f>SI(Y(B11&lt;&gt;"";O11="");HOY()-B11;SI(Y(B11&lt;&gt;"";O11&lt;&gt;"");O11-B11;""))</f>
        <v/>
      </c>
      <c r="R11">
        <f>SI(Y(N11&lt;&gt;"";O11="");HOY()-N11;SI(Y(N11&lt;&gt;"";O11&lt;&gt;"");O11-N11;""))</f>
        <v/>
      </c>
    </row>
    <row r="12">
      <c r="A12" t="inlineStr">
        <is>
          <t>HAL-011</t>
        </is>
      </c>
      <c r="B12" s="9" t="n"/>
      <c r="C12">
        <f>Config!B2</f>
        <v/>
      </c>
      <c r="N12" s="9" t="n"/>
      <c r="O12" s="9" t="n"/>
      <c r="Q12">
        <f>SI(Y(B12&lt;&gt;"";O12="");HOY()-B12;SI(Y(B12&lt;&gt;"";O12&lt;&gt;"");O12-B12;""))</f>
        <v/>
      </c>
      <c r="R12">
        <f>SI(Y(N12&lt;&gt;"";O12="");HOY()-N12;SI(Y(N12&lt;&gt;"";O12&lt;&gt;"");O12-N12;""))</f>
        <v/>
      </c>
    </row>
    <row r="13">
      <c r="A13" t="inlineStr">
        <is>
          <t>HAL-012</t>
        </is>
      </c>
      <c r="B13" s="9" t="n"/>
      <c r="C13">
        <f>Config!B2</f>
        <v/>
      </c>
      <c r="N13" s="9" t="n"/>
      <c r="O13" s="9" t="n"/>
      <c r="Q13">
        <f>SI(Y(B13&lt;&gt;"";O13="");HOY()-B13;SI(Y(B13&lt;&gt;"";O13&lt;&gt;"");O13-B13;""))</f>
        <v/>
      </c>
      <c r="R13">
        <f>SI(Y(N13&lt;&gt;"";O13="");HOY()-N13;SI(Y(N13&lt;&gt;"";O13&lt;&gt;"");O13-N13;""))</f>
        <v/>
      </c>
    </row>
    <row r="14">
      <c r="A14" t="inlineStr">
        <is>
          <t>HAL-013</t>
        </is>
      </c>
      <c r="B14" s="9" t="n"/>
      <c r="C14">
        <f>Config!B2</f>
        <v/>
      </c>
      <c r="N14" s="9" t="n"/>
      <c r="O14" s="9" t="n"/>
      <c r="Q14">
        <f>SI(Y(B14&lt;&gt;"";O14="");HOY()-B14;SI(Y(B14&lt;&gt;"";O14&lt;&gt;"");O14-B14;""))</f>
        <v/>
      </c>
      <c r="R14">
        <f>SI(Y(N14&lt;&gt;"";O14="");HOY()-N14;SI(Y(N14&lt;&gt;"";O14&lt;&gt;"");O14-N14;""))</f>
        <v/>
      </c>
    </row>
    <row r="15">
      <c r="A15" t="inlineStr">
        <is>
          <t>HAL-014</t>
        </is>
      </c>
      <c r="B15" s="9" t="n"/>
      <c r="C15">
        <f>Config!B2</f>
        <v/>
      </c>
      <c r="N15" s="9" t="n"/>
      <c r="O15" s="9" t="n"/>
      <c r="Q15">
        <f>SI(Y(B15&lt;&gt;"";O15="");HOY()-B15;SI(Y(B15&lt;&gt;"";O15&lt;&gt;"");O15-B15;""))</f>
        <v/>
      </c>
      <c r="R15">
        <f>SI(Y(N15&lt;&gt;"";O15="");HOY()-N15;SI(Y(N15&lt;&gt;"";O15&lt;&gt;"");O15-N15;""))</f>
        <v/>
      </c>
    </row>
    <row r="16">
      <c r="A16" t="inlineStr">
        <is>
          <t>HAL-015</t>
        </is>
      </c>
      <c r="B16" s="9" t="n"/>
      <c r="C16">
        <f>Config!B2</f>
        <v/>
      </c>
      <c r="N16" s="9" t="n"/>
      <c r="O16" s="9" t="n"/>
      <c r="Q16">
        <f>SI(Y(B16&lt;&gt;"";O16="");HOY()-B16;SI(Y(B16&lt;&gt;"";O16&lt;&gt;"");O16-B16;""))</f>
        <v/>
      </c>
      <c r="R16">
        <f>SI(Y(N16&lt;&gt;"";O16="");HOY()-N16;SI(Y(N16&lt;&gt;"";O16&lt;&gt;"");O16-N16;""))</f>
        <v/>
      </c>
    </row>
    <row r="17">
      <c r="A17" t="inlineStr">
        <is>
          <t>HAL-016</t>
        </is>
      </c>
      <c r="B17" s="9" t="n"/>
      <c r="C17">
        <f>Config!B2</f>
        <v/>
      </c>
      <c r="N17" s="9" t="n"/>
      <c r="O17" s="9" t="n"/>
      <c r="Q17">
        <f>SI(Y(B17&lt;&gt;"";O17="");HOY()-B17;SI(Y(B17&lt;&gt;"";O17&lt;&gt;"");O17-B17;""))</f>
        <v/>
      </c>
      <c r="R17">
        <f>SI(Y(N17&lt;&gt;"";O17="");HOY()-N17;SI(Y(N17&lt;&gt;"";O17&lt;&gt;"");O17-N17;""))</f>
        <v/>
      </c>
    </row>
    <row r="18">
      <c r="A18" t="inlineStr">
        <is>
          <t>HAL-017</t>
        </is>
      </c>
      <c r="B18" s="9" t="n"/>
      <c r="C18">
        <f>Config!B2</f>
        <v/>
      </c>
      <c r="N18" s="9" t="n"/>
      <c r="O18" s="9" t="n"/>
      <c r="Q18">
        <f>SI(Y(B18&lt;&gt;"";O18="");HOY()-B18;SI(Y(B18&lt;&gt;"";O18&lt;&gt;"");O18-B18;""))</f>
        <v/>
      </c>
      <c r="R18">
        <f>SI(Y(N18&lt;&gt;"";O18="");HOY()-N18;SI(Y(N18&lt;&gt;"";O18&lt;&gt;"");O18-N18;""))</f>
        <v/>
      </c>
    </row>
    <row r="19">
      <c r="A19" t="inlineStr">
        <is>
          <t>HAL-018</t>
        </is>
      </c>
      <c r="B19" s="9" t="n"/>
      <c r="C19">
        <f>Config!B2</f>
        <v/>
      </c>
      <c r="N19" s="9" t="n"/>
      <c r="O19" s="9" t="n"/>
      <c r="Q19">
        <f>SI(Y(B19&lt;&gt;"";O19="");HOY()-B19;SI(Y(B19&lt;&gt;"";O19&lt;&gt;"");O19-B19;""))</f>
        <v/>
      </c>
      <c r="R19">
        <f>SI(Y(N19&lt;&gt;"";O19="");HOY()-N19;SI(Y(N19&lt;&gt;"";O19&lt;&gt;"");O19-N19;""))</f>
        <v/>
      </c>
    </row>
    <row r="20">
      <c r="A20" t="inlineStr">
        <is>
          <t>HAL-019</t>
        </is>
      </c>
      <c r="B20" s="9" t="n"/>
      <c r="C20">
        <f>Config!B2</f>
        <v/>
      </c>
      <c r="N20" s="9" t="n"/>
      <c r="O20" s="9" t="n"/>
      <c r="Q20">
        <f>SI(Y(B20&lt;&gt;"";O20="");HOY()-B20;SI(Y(B20&lt;&gt;"";O20&lt;&gt;"");O20-B20;""))</f>
        <v/>
      </c>
      <c r="R20">
        <f>SI(Y(N20&lt;&gt;"";O20="");HOY()-N20;SI(Y(N20&lt;&gt;"";O20&lt;&gt;"");O20-N20;""))</f>
        <v/>
      </c>
    </row>
    <row r="21">
      <c r="A21" t="inlineStr">
        <is>
          <t>HAL-020</t>
        </is>
      </c>
      <c r="B21" s="9" t="n"/>
      <c r="C21">
        <f>Config!B2</f>
        <v/>
      </c>
      <c r="N21" s="9" t="n"/>
      <c r="O21" s="9" t="n"/>
      <c r="Q21">
        <f>SI(Y(B21&lt;&gt;"";O21="");HOY()-B21;SI(Y(B21&lt;&gt;"";O21&lt;&gt;"");O21-B21;""))</f>
        <v/>
      </c>
      <c r="R21">
        <f>SI(Y(N21&lt;&gt;"";O21="");HOY()-N21;SI(Y(N21&lt;&gt;"";O21&lt;&gt;"");O21-N21;""))</f>
        <v/>
      </c>
    </row>
    <row r="22">
      <c r="A22" t="inlineStr">
        <is>
          <t>HAL-021</t>
        </is>
      </c>
      <c r="B22" s="9" t="n"/>
      <c r="C22">
        <f>Config!B2</f>
        <v/>
      </c>
      <c r="N22" s="9" t="n"/>
      <c r="O22" s="9" t="n"/>
      <c r="Q22">
        <f>SI(Y(B22&lt;&gt;"";O22="");HOY()-B22;SI(Y(B22&lt;&gt;"";O22&lt;&gt;"");O22-B22;""))</f>
        <v/>
      </c>
      <c r="R22">
        <f>SI(Y(N22&lt;&gt;"";O22="");HOY()-N22;SI(Y(N22&lt;&gt;"";O22&lt;&gt;"");O22-N22;""))</f>
        <v/>
      </c>
    </row>
    <row r="23">
      <c r="A23" t="inlineStr">
        <is>
          <t>HAL-022</t>
        </is>
      </c>
      <c r="B23" s="9" t="n"/>
      <c r="C23">
        <f>Config!B2</f>
        <v/>
      </c>
      <c r="N23" s="9" t="n"/>
      <c r="O23" s="9" t="n"/>
      <c r="Q23">
        <f>SI(Y(B23&lt;&gt;"";O23="");HOY()-B23;SI(Y(B23&lt;&gt;"";O23&lt;&gt;"");O23-B23;""))</f>
        <v/>
      </c>
      <c r="R23">
        <f>SI(Y(N23&lt;&gt;"";O23="");HOY()-N23;SI(Y(N23&lt;&gt;"";O23&lt;&gt;"");O23-N23;""))</f>
        <v/>
      </c>
    </row>
    <row r="24">
      <c r="A24" t="inlineStr">
        <is>
          <t>HAL-023</t>
        </is>
      </c>
      <c r="B24" s="9" t="n"/>
      <c r="C24">
        <f>Config!B2</f>
        <v/>
      </c>
      <c r="N24" s="9" t="n"/>
      <c r="O24" s="9" t="n"/>
      <c r="Q24">
        <f>SI(Y(B24&lt;&gt;"";O24="");HOY()-B24;SI(Y(B24&lt;&gt;"";O24&lt;&gt;"");O24-B24;""))</f>
        <v/>
      </c>
      <c r="R24">
        <f>SI(Y(N24&lt;&gt;"";O24="");HOY()-N24;SI(Y(N24&lt;&gt;"";O24&lt;&gt;"");O24-N24;""))</f>
        <v/>
      </c>
    </row>
    <row r="25">
      <c r="A25" t="inlineStr">
        <is>
          <t>HAL-024</t>
        </is>
      </c>
      <c r="B25" s="9" t="n"/>
      <c r="C25">
        <f>Config!B2</f>
        <v/>
      </c>
      <c r="N25" s="9" t="n"/>
      <c r="O25" s="9" t="n"/>
      <c r="Q25">
        <f>SI(Y(B25&lt;&gt;"";O25="");HOY()-B25;SI(Y(B25&lt;&gt;"";O25&lt;&gt;"");O25-B25;""))</f>
        <v/>
      </c>
      <c r="R25">
        <f>SI(Y(N25&lt;&gt;"";O25="");HOY()-N25;SI(Y(N25&lt;&gt;"";O25&lt;&gt;"");O25-N25;""))</f>
        <v/>
      </c>
    </row>
    <row r="26">
      <c r="A26" t="inlineStr">
        <is>
          <t>HAL-025</t>
        </is>
      </c>
      <c r="B26" s="9" t="n"/>
      <c r="C26">
        <f>Config!B2</f>
        <v/>
      </c>
      <c r="N26" s="9" t="n"/>
      <c r="O26" s="9" t="n"/>
      <c r="Q26">
        <f>SI(Y(B26&lt;&gt;"";O26="");HOY()-B26;SI(Y(B26&lt;&gt;"";O26&lt;&gt;"");O26-B26;""))</f>
        <v/>
      </c>
      <c r="R26">
        <f>SI(Y(N26&lt;&gt;"";O26="");HOY()-N26;SI(Y(N26&lt;&gt;"";O26&lt;&gt;"");O26-N26;""))</f>
        <v/>
      </c>
    </row>
    <row r="27">
      <c r="A27" t="inlineStr">
        <is>
          <t>HAL-026</t>
        </is>
      </c>
      <c r="B27" s="9" t="n"/>
      <c r="C27">
        <f>Config!B2</f>
        <v/>
      </c>
      <c r="N27" s="9" t="n"/>
      <c r="O27" s="9" t="n"/>
      <c r="Q27">
        <f>SI(Y(B27&lt;&gt;"";O27="");HOY()-B27;SI(Y(B27&lt;&gt;"";O27&lt;&gt;"");O27-B27;""))</f>
        <v/>
      </c>
      <c r="R27">
        <f>SI(Y(N27&lt;&gt;"";O27="");HOY()-N27;SI(Y(N27&lt;&gt;"";O27&lt;&gt;"");O27-N27;""))</f>
        <v/>
      </c>
    </row>
    <row r="28">
      <c r="A28" t="inlineStr">
        <is>
          <t>HAL-027</t>
        </is>
      </c>
      <c r="B28" s="9" t="n"/>
      <c r="C28">
        <f>Config!B2</f>
        <v/>
      </c>
      <c r="N28" s="9" t="n"/>
      <c r="O28" s="9" t="n"/>
      <c r="Q28">
        <f>SI(Y(B28&lt;&gt;"";O28="");HOY()-B28;SI(Y(B28&lt;&gt;"";O28&lt;&gt;"");O28-B28;""))</f>
        <v/>
      </c>
      <c r="R28">
        <f>SI(Y(N28&lt;&gt;"";O28="");HOY()-N28;SI(Y(N28&lt;&gt;"";O28&lt;&gt;"");O28-N28;""))</f>
        <v/>
      </c>
    </row>
    <row r="29">
      <c r="A29" t="inlineStr">
        <is>
          <t>HAL-028</t>
        </is>
      </c>
      <c r="B29" s="9" t="n"/>
      <c r="C29">
        <f>Config!B2</f>
        <v/>
      </c>
      <c r="N29" s="9" t="n"/>
      <c r="O29" s="9" t="n"/>
      <c r="Q29">
        <f>SI(Y(B29&lt;&gt;"";O29="");HOY()-B29;SI(Y(B29&lt;&gt;"";O29&lt;&gt;"");O29-B29;""))</f>
        <v/>
      </c>
      <c r="R29">
        <f>SI(Y(N29&lt;&gt;"";O29="");HOY()-N29;SI(Y(N29&lt;&gt;"";O29&lt;&gt;"");O29-N29;""))</f>
        <v/>
      </c>
    </row>
    <row r="30">
      <c r="A30" t="inlineStr">
        <is>
          <t>HAL-029</t>
        </is>
      </c>
      <c r="B30" s="9" t="n"/>
      <c r="C30">
        <f>Config!B2</f>
        <v/>
      </c>
      <c r="N30" s="9" t="n"/>
      <c r="O30" s="9" t="n"/>
      <c r="Q30">
        <f>SI(Y(B30&lt;&gt;"";O30="");HOY()-B30;SI(Y(B30&lt;&gt;"";O30&lt;&gt;"");O30-B30;""))</f>
        <v/>
      </c>
      <c r="R30">
        <f>SI(Y(N30&lt;&gt;"";O30="");HOY()-N30;SI(Y(N30&lt;&gt;"";O30&lt;&gt;"");O30-N30;""))</f>
        <v/>
      </c>
    </row>
    <row r="31">
      <c r="A31" t="inlineStr">
        <is>
          <t>HAL-030</t>
        </is>
      </c>
      <c r="B31" s="9" t="n"/>
      <c r="C31">
        <f>Config!B2</f>
        <v/>
      </c>
      <c r="N31" s="9" t="n"/>
      <c r="O31" s="9" t="n"/>
      <c r="Q31">
        <f>SI(Y(B31&lt;&gt;"";O31="");HOY()-B31;SI(Y(B31&lt;&gt;"";O31&lt;&gt;"");O31-B31;""))</f>
        <v/>
      </c>
      <c r="R31">
        <f>SI(Y(N31&lt;&gt;"";O31="");HOY()-N31;SI(Y(N31&lt;&gt;"";O31&lt;&gt;"");O31-N31;""))</f>
        <v/>
      </c>
    </row>
    <row r="32">
      <c r="A32" t="inlineStr">
        <is>
          <t>HAL-031</t>
        </is>
      </c>
      <c r="B32" s="9" t="n"/>
      <c r="C32">
        <f>Config!B2</f>
        <v/>
      </c>
      <c r="N32" s="9" t="n"/>
      <c r="O32" s="9" t="n"/>
      <c r="Q32">
        <f>SI(Y(B32&lt;&gt;"";O32="");HOY()-B32;SI(Y(B32&lt;&gt;"";O32&lt;&gt;"");O32-B32;""))</f>
        <v/>
      </c>
      <c r="R32">
        <f>SI(Y(N32&lt;&gt;"";O32="");HOY()-N32;SI(Y(N32&lt;&gt;"";O32&lt;&gt;"");O32-N32;""))</f>
        <v/>
      </c>
    </row>
    <row r="33">
      <c r="A33" t="inlineStr">
        <is>
          <t>HAL-032</t>
        </is>
      </c>
      <c r="B33" s="9" t="n"/>
      <c r="C33">
        <f>Config!B2</f>
        <v/>
      </c>
      <c r="N33" s="9" t="n"/>
      <c r="O33" s="9" t="n"/>
      <c r="Q33">
        <f>SI(Y(B33&lt;&gt;"";O33="");HOY()-B33;SI(Y(B33&lt;&gt;"";O33&lt;&gt;"");O33-B33;""))</f>
        <v/>
      </c>
      <c r="R33">
        <f>SI(Y(N33&lt;&gt;"";O33="");HOY()-N33;SI(Y(N33&lt;&gt;"";O33&lt;&gt;"");O33-N33;""))</f>
        <v/>
      </c>
    </row>
    <row r="34">
      <c r="A34" t="inlineStr">
        <is>
          <t>HAL-033</t>
        </is>
      </c>
      <c r="B34" s="9" t="n"/>
      <c r="C34">
        <f>Config!B2</f>
        <v/>
      </c>
      <c r="N34" s="9" t="n"/>
      <c r="O34" s="9" t="n"/>
      <c r="Q34">
        <f>SI(Y(B34&lt;&gt;"";O34="");HOY()-B34;SI(Y(B34&lt;&gt;"";O34&lt;&gt;"");O34-B34;""))</f>
        <v/>
      </c>
      <c r="R34">
        <f>SI(Y(N34&lt;&gt;"";O34="");HOY()-N34;SI(Y(N34&lt;&gt;"";O34&lt;&gt;"");O34-N34;""))</f>
        <v/>
      </c>
    </row>
    <row r="35">
      <c r="A35" t="inlineStr">
        <is>
          <t>HAL-034</t>
        </is>
      </c>
      <c r="B35" s="9" t="n"/>
      <c r="C35">
        <f>Config!B2</f>
        <v/>
      </c>
      <c r="N35" s="9" t="n"/>
      <c r="O35" s="9" t="n"/>
      <c r="Q35">
        <f>SI(Y(B35&lt;&gt;"";O35="");HOY()-B35;SI(Y(B35&lt;&gt;"";O35&lt;&gt;"");O35-B35;""))</f>
        <v/>
      </c>
      <c r="R35">
        <f>SI(Y(N35&lt;&gt;"";O35="");HOY()-N35;SI(Y(N35&lt;&gt;"";O35&lt;&gt;"");O35-N35;""))</f>
        <v/>
      </c>
    </row>
    <row r="36">
      <c r="A36" t="inlineStr">
        <is>
          <t>HAL-035</t>
        </is>
      </c>
      <c r="B36" s="9" t="n"/>
      <c r="C36">
        <f>Config!B2</f>
        <v/>
      </c>
      <c r="N36" s="9" t="n"/>
      <c r="O36" s="9" t="n"/>
      <c r="Q36">
        <f>SI(Y(B36&lt;&gt;"";O36="");HOY()-B36;SI(Y(B36&lt;&gt;"";O36&lt;&gt;"");O36-B36;""))</f>
        <v/>
      </c>
      <c r="R36">
        <f>SI(Y(N36&lt;&gt;"";O36="");HOY()-N36;SI(Y(N36&lt;&gt;"";O36&lt;&gt;"");O36-N36;""))</f>
        <v/>
      </c>
    </row>
    <row r="37">
      <c r="A37" t="inlineStr">
        <is>
          <t>HAL-036</t>
        </is>
      </c>
      <c r="B37" s="9" t="n"/>
      <c r="C37">
        <f>Config!B2</f>
        <v/>
      </c>
      <c r="N37" s="9" t="n"/>
      <c r="O37" s="9" t="n"/>
      <c r="Q37">
        <f>SI(Y(B37&lt;&gt;"";O37="");HOY()-B37;SI(Y(B37&lt;&gt;"";O37&lt;&gt;"");O37-B37;""))</f>
        <v/>
      </c>
      <c r="R37">
        <f>SI(Y(N37&lt;&gt;"";O37="");HOY()-N37;SI(Y(N37&lt;&gt;"";O37&lt;&gt;"");O37-N37;""))</f>
        <v/>
      </c>
    </row>
    <row r="38">
      <c r="A38" t="inlineStr">
        <is>
          <t>HAL-037</t>
        </is>
      </c>
      <c r="B38" s="9" t="n"/>
      <c r="C38">
        <f>Config!B2</f>
        <v/>
      </c>
      <c r="N38" s="9" t="n"/>
      <c r="O38" s="9" t="n"/>
      <c r="Q38">
        <f>SI(Y(B38&lt;&gt;"";O38="");HOY()-B38;SI(Y(B38&lt;&gt;"";O38&lt;&gt;"");O38-B38;""))</f>
        <v/>
      </c>
      <c r="R38">
        <f>SI(Y(N38&lt;&gt;"";O38="");HOY()-N38;SI(Y(N38&lt;&gt;"";O38&lt;&gt;"");O38-N38;""))</f>
        <v/>
      </c>
    </row>
    <row r="39">
      <c r="A39" t="inlineStr">
        <is>
          <t>HAL-038</t>
        </is>
      </c>
      <c r="B39" s="9" t="n"/>
      <c r="C39">
        <f>Config!B2</f>
        <v/>
      </c>
      <c r="N39" s="9" t="n"/>
      <c r="O39" s="9" t="n"/>
      <c r="Q39">
        <f>SI(Y(B39&lt;&gt;"";O39="");HOY()-B39;SI(Y(B39&lt;&gt;"";O39&lt;&gt;"");O39-B39;""))</f>
        <v/>
      </c>
      <c r="R39">
        <f>SI(Y(N39&lt;&gt;"";O39="");HOY()-N39;SI(Y(N39&lt;&gt;"";O39&lt;&gt;"");O39-N39;""))</f>
        <v/>
      </c>
    </row>
    <row r="40">
      <c r="A40" t="inlineStr">
        <is>
          <t>HAL-039</t>
        </is>
      </c>
      <c r="B40" s="9" t="n"/>
      <c r="C40">
        <f>Config!B2</f>
        <v/>
      </c>
      <c r="N40" s="9" t="n"/>
      <c r="O40" s="9" t="n"/>
      <c r="Q40">
        <f>SI(Y(B40&lt;&gt;"";O40="");HOY()-B40;SI(Y(B40&lt;&gt;"";O40&lt;&gt;"");O40-B40;""))</f>
        <v/>
      </c>
      <c r="R40">
        <f>SI(Y(N40&lt;&gt;"";O40="");HOY()-N40;SI(Y(N40&lt;&gt;"";O40&lt;&gt;"");O40-N40;""))</f>
        <v/>
      </c>
    </row>
    <row r="41">
      <c r="A41" t="inlineStr">
        <is>
          <t>HAL-040</t>
        </is>
      </c>
      <c r="B41" s="9" t="n"/>
      <c r="C41">
        <f>Config!B2</f>
        <v/>
      </c>
      <c r="N41" s="9" t="n"/>
      <c r="O41" s="9" t="n"/>
      <c r="Q41">
        <f>SI(Y(B41&lt;&gt;"";O41="");HOY()-B41;SI(Y(B41&lt;&gt;"";O41&lt;&gt;"");O41-B41;""))</f>
        <v/>
      </c>
      <c r="R41">
        <f>SI(Y(N41&lt;&gt;"";O41="");HOY()-N41;SI(Y(N41&lt;&gt;"";O41&lt;&gt;"");O41-N41;""))</f>
        <v/>
      </c>
    </row>
    <row r="42">
      <c r="A42" t="inlineStr">
        <is>
          <t>HAL-041</t>
        </is>
      </c>
      <c r="B42" s="9" t="n"/>
      <c r="C42">
        <f>Config!B2</f>
        <v/>
      </c>
      <c r="N42" s="9" t="n"/>
      <c r="O42" s="9" t="n"/>
      <c r="Q42">
        <f>SI(Y(B42&lt;&gt;"";O42="");HOY()-B42;SI(Y(B42&lt;&gt;"";O42&lt;&gt;"");O42-B42;""))</f>
        <v/>
      </c>
      <c r="R42">
        <f>SI(Y(N42&lt;&gt;"";O42="");HOY()-N42;SI(Y(N42&lt;&gt;"";O42&lt;&gt;"");O42-N42;""))</f>
        <v/>
      </c>
    </row>
    <row r="43">
      <c r="A43" t="inlineStr">
        <is>
          <t>HAL-042</t>
        </is>
      </c>
      <c r="B43" s="9" t="n"/>
      <c r="C43">
        <f>Config!B2</f>
        <v/>
      </c>
      <c r="N43" s="9" t="n"/>
      <c r="O43" s="9" t="n"/>
      <c r="Q43">
        <f>SI(Y(B43&lt;&gt;"";O43="");HOY()-B43;SI(Y(B43&lt;&gt;"";O43&lt;&gt;"");O43-B43;""))</f>
        <v/>
      </c>
      <c r="R43">
        <f>SI(Y(N43&lt;&gt;"";O43="");HOY()-N43;SI(Y(N43&lt;&gt;"";O43&lt;&gt;"");O43-N43;""))</f>
        <v/>
      </c>
    </row>
    <row r="44">
      <c r="A44" t="inlineStr">
        <is>
          <t>HAL-043</t>
        </is>
      </c>
      <c r="B44" s="9" t="n"/>
      <c r="C44">
        <f>Config!B2</f>
        <v/>
      </c>
      <c r="N44" s="9" t="n"/>
      <c r="O44" s="9" t="n"/>
      <c r="Q44">
        <f>SI(Y(B44&lt;&gt;"";O44="");HOY()-B44;SI(Y(B44&lt;&gt;"";O44&lt;&gt;"");O44-B44;""))</f>
        <v/>
      </c>
      <c r="R44">
        <f>SI(Y(N44&lt;&gt;"";O44="");HOY()-N44;SI(Y(N44&lt;&gt;"";O44&lt;&gt;"");O44-N44;""))</f>
        <v/>
      </c>
    </row>
    <row r="45">
      <c r="A45" t="inlineStr">
        <is>
          <t>HAL-044</t>
        </is>
      </c>
      <c r="B45" s="9" t="n"/>
      <c r="C45">
        <f>Config!B2</f>
        <v/>
      </c>
      <c r="N45" s="9" t="n"/>
      <c r="O45" s="9" t="n"/>
      <c r="Q45">
        <f>SI(Y(B45&lt;&gt;"";O45="");HOY()-B45;SI(Y(B45&lt;&gt;"";O45&lt;&gt;"");O45-B45;""))</f>
        <v/>
      </c>
      <c r="R45">
        <f>SI(Y(N45&lt;&gt;"";O45="");HOY()-N45;SI(Y(N45&lt;&gt;"";O45&lt;&gt;"");O45-N45;""))</f>
        <v/>
      </c>
    </row>
    <row r="46">
      <c r="A46" t="inlineStr">
        <is>
          <t>HAL-045</t>
        </is>
      </c>
      <c r="B46" s="9" t="n"/>
      <c r="C46">
        <f>Config!B2</f>
        <v/>
      </c>
      <c r="N46" s="9" t="n"/>
      <c r="O46" s="9" t="n"/>
      <c r="Q46">
        <f>SI(Y(B46&lt;&gt;"";O46="");HOY()-B46;SI(Y(B46&lt;&gt;"";O46&lt;&gt;"");O46-B46;""))</f>
        <v/>
      </c>
      <c r="R46">
        <f>SI(Y(N46&lt;&gt;"";O46="");HOY()-N46;SI(Y(N46&lt;&gt;"";O46&lt;&gt;"");O46-N46;""))</f>
        <v/>
      </c>
    </row>
    <row r="47">
      <c r="A47" t="inlineStr">
        <is>
          <t>HAL-046</t>
        </is>
      </c>
      <c r="B47" s="9" t="n"/>
      <c r="C47">
        <f>Config!B2</f>
        <v/>
      </c>
      <c r="N47" s="9" t="n"/>
      <c r="O47" s="9" t="n"/>
      <c r="Q47">
        <f>SI(Y(B47&lt;&gt;"";O47="");HOY()-B47;SI(Y(B47&lt;&gt;"";O47&lt;&gt;"");O47-B47;""))</f>
        <v/>
      </c>
      <c r="R47">
        <f>SI(Y(N47&lt;&gt;"";O47="");HOY()-N47;SI(Y(N47&lt;&gt;"";O47&lt;&gt;"");O47-N47;""))</f>
        <v/>
      </c>
    </row>
    <row r="48">
      <c r="A48" t="inlineStr">
        <is>
          <t>HAL-047</t>
        </is>
      </c>
      <c r="B48" s="9" t="n"/>
      <c r="C48">
        <f>Config!B2</f>
        <v/>
      </c>
      <c r="N48" s="9" t="n"/>
      <c r="O48" s="9" t="n"/>
      <c r="Q48">
        <f>SI(Y(B48&lt;&gt;"";O48="");HOY()-B48;SI(Y(B48&lt;&gt;"";O48&lt;&gt;"");O48-B48;""))</f>
        <v/>
      </c>
      <c r="R48">
        <f>SI(Y(N48&lt;&gt;"";O48="");HOY()-N48;SI(Y(N48&lt;&gt;"";O48&lt;&gt;"");O48-N48;""))</f>
        <v/>
      </c>
    </row>
    <row r="49">
      <c r="A49" t="inlineStr">
        <is>
          <t>HAL-048</t>
        </is>
      </c>
      <c r="B49" s="9" t="n"/>
      <c r="C49">
        <f>Config!B2</f>
        <v/>
      </c>
      <c r="N49" s="9" t="n"/>
      <c r="O49" s="9" t="n"/>
      <c r="Q49">
        <f>SI(Y(B49&lt;&gt;"";O49="");HOY()-B49;SI(Y(B49&lt;&gt;"";O49&lt;&gt;"");O49-B49;""))</f>
        <v/>
      </c>
      <c r="R49">
        <f>SI(Y(N49&lt;&gt;"";O49="");HOY()-N49;SI(Y(N49&lt;&gt;"";O49&lt;&gt;"");O49-N49;""))</f>
        <v/>
      </c>
    </row>
    <row r="50">
      <c r="A50" t="inlineStr">
        <is>
          <t>HAL-049</t>
        </is>
      </c>
      <c r="B50" s="9" t="n"/>
      <c r="C50">
        <f>Config!B2</f>
        <v/>
      </c>
      <c r="N50" s="9" t="n"/>
      <c r="O50" s="9" t="n"/>
      <c r="Q50">
        <f>SI(Y(B50&lt;&gt;"";O50="");HOY()-B50;SI(Y(B50&lt;&gt;"";O50&lt;&gt;"");O50-B50;""))</f>
        <v/>
      </c>
      <c r="R50">
        <f>SI(Y(N50&lt;&gt;"";O50="");HOY()-N50;SI(Y(N50&lt;&gt;"";O50&lt;&gt;"");O50-N50;""))</f>
        <v/>
      </c>
    </row>
    <row r="51">
      <c r="A51" t="inlineStr">
        <is>
          <t>HAL-050</t>
        </is>
      </c>
      <c r="B51" s="9" t="n"/>
      <c r="C51">
        <f>Config!B2</f>
        <v/>
      </c>
      <c r="N51" s="9" t="n"/>
      <c r="O51" s="9" t="n"/>
      <c r="Q51">
        <f>SI(Y(B51&lt;&gt;"";O51="");HOY()-B51;SI(Y(B51&lt;&gt;"";O51&lt;&gt;"");O51-B51;""))</f>
        <v/>
      </c>
      <c r="R51">
        <f>SI(Y(N51&lt;&gt;"";O51="");HOY()-N51;SI(Y(N51&lt;&gt;"";O51&lt;&gt;"");O51-N51;""))</f>
        <v/>
      </c>
    </row>
  </sheetData>
  <conditionalFormatting sqref="A2:X100">
    <cfRule type="expression" priority="1" dxfId="4">
      <formula>$H2="Crítico"</formula>
    </cfRule>
    <cfRule type="expression" priority="2" dxfId="2">
      <formula>$H2="Mayor"</formula>
    </cfRule>
    <cfRule type="expression" priority="3" dxfId="1">
      <formula>$H2="Menor"</formula>
    </cfRule>
    <cfRule type="expression" priority="4" dxfId="5">
      <formula>$H2="Observación"</formula>
    </cfRule>
    <cfRule type="expression" priority="5" dxfId="0">
      <formula>$H2="Buena práctica"</formula>
    </cfRule>
    <cfRule type="expression" priority="6" dxfId="4">
      <formula>Y($N2&lt;&gt;"";$O2="";$N2&lt;HOY())</formula>
    </cfRule>
    <cfRule type="expression" priority="7" dxfId="6">
      <formula>Y($N2&lt;&gt;"";$O2="";$N2-HOY()&lt;=7;$N2&gt;=HOY())</formula>
    </cfRule>
  </conditionalFormatting>
  <dataValidations count="6">
    <dataValidation sqref="H2:H100" showDropDown="0" showInputMessage="0" showErrorMessage="0" allowBlank="1" errorTitle="Valor no válido" error="Seleccione un valor de la lista" type="list">
      <formula1>'_Listas'!$C$2:$C$7</formula1>
    </dataValidation>
    <dataValidation sqref="I2:I100" showDropDown="0" showInputMessage="0" showErrorMessage="0" allowBlank="1" errorTitle="Valor no válido" error="Seleccione un valor de la lista" type="list">
      <formula1>'_Listas'!$N$2:$N$5</formula1>
    </dataValidation>
    <dataValidation sqref="P2:P100" showDropDown="0" showInputMessage="0" showErrorMessage="0" allowBlank="1" errorTitle="Valor no válido" error="Seleccione un valor de la lista" type="list">
      <formula1>'_Listas'!$D$2:$D$6</formula1>
    </dataValidation>
    <dataValidation sqref="M2:M100" showDropDown="0" showInputMessage="0" showErrorMessage="0" allowBlank="1" errorTitle="Valor no válido" error="Seleccione un valor de la lista" type="list">
      <formula1>'_Listas'!$O$2:$O$8</formula1>
    </dataValidation>
    <dataValidation sqref="T2:T100" showDropDown="0" showInputMessage="0" showErrorMessage="0" allowBlank="1" errorTitle="Valor no válido" error="Seleccione un valor de la lista" type="list">
      <formula1>'_Listas'!$O$2:$O$8</formula1>
    </dataValidation>
    <dataValidation sqref="V2:V100" showDropDown="0" showInputMessage="0" showErrorMessage="0" allowBlank="1" errorTitle="Valor no válido" error="Seleccione un valor de la lista" type="list">
      <formula1>'_Listas'!$J$2:$J$3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18" customWidth="1" min="4" max="4"/>
    <col width="34" customWidth="1" min="5" max="5"/>
    <col width="23" customWidth="1" min="6" max="6"/>
    <col width="27" customWidth="1" min="7" max="7"/>
    <col width="15" customWidth="1" min="8" max="8"/>
    <col width="19" customWidth="1" min="9" max="9"/>
    <col width="26" customWidth="1" min="10" max="10"/>
    <col width="45" customWidth="1" min="11" max="11"/>
    <col width="13" customWidth="1" min="12" max="12"/>
    <col width="19" customWidth="1" min="13" max="13"/>
    <col width="16" customWidth="1" min="14" max="14"/>
    <col width="23" customWidth="1" min="15" max="15"/>
    <col width="15" customWidth="1" min="16" max="16"/>
  </cols>
  <sheetData>
    <row r="1">
      <c r="A1" s="8" t="inlineStr">
        <is>
          <t>ID documental</t>
        </is>
      </c>
      <c r="B1" s="8" t="inlineStr">
        <is>
          <t>Tipo documento</t>
        </is>
      </c>
      <c r="C1" s="8" t="inlineStr">
        <is>
          <t>Documento/permiso</t>
        </is>
      </c>
      <c r="D1" s="8" t="inlineStr">
        <is>
          <t>Materia</t>
        </is>
      </c>
      <c r="E1" s="8" t="inlineStr">
        <is>
          <t>Autoridad emisora</t>
        </is>
      </c>
      <c r="F1" s="8" t="inlineStr">
        <is>
          <t>Titular</t>
        </is>
      </c>
      <c r="G1" s="8" t="inlineStr">
        <is>
          <t>N° resolución/certificado</t>
        </is>
      </c>
      <c r="H1" s="8" t="inlineStr">
        <is>
          <t>Fecha emisión</t>
        </is>
      </c>
      <c r="I1" s="8" t="inlineStr">
        <is>
          <t>Fecha vencimiento</t>
        </is>
      </c>
      <c r="J1" s="8" t="inlineStr">
        <is>
          <t>Vigencia (días rest.)</t>
        </is>
      </c>
      <c r="K1" s="8" t="inlineStr">
        <is>
          <t>Estado documental (auto)</t>
        </is>
      </c>
      <c r="L1" s="8" t="inlineStr">
        <is>
          <t>Responsable</t>
        </is>
      </c>
      <c r="M1" s="8" t="inlineStr">
        <is>
          <t>Ubicación archivo</t>
        </is>
      </c>
      <c r="N1" s="8" t="inlineStr">
        <is>
          <t>Enlace digital</t>
        </is>
      </c>
      <c r="O1" s="8" t="inlineStr">
        <is>
          <t>Fecha última revisión</t>
        </is>
      </c>
      <c r="P1" s="8" t="inlineStr">
        <is>
          <t>Observaciones</t>
        </is>
      </c>
    </row>
    <row r="2">
      <c r="A2" t="inlineStr">
        <is>
          <t>DOC-001</t>
        </is>
      </c>
      <c r="B2" t="inlineStr">
        <is>
          <t>Permiso/Aprobación</t>
        </is>
      </c>
      <c r="C2" t="inlineStr">
        <is>
          <t>Plan de Manejo Instalación de Faenas Rev. 1</t>
        </is>
      </c>
      <c r="D2" t="inlineStr">
        <is>
          <t>Ambiental</t>
        </is>
      </c>
      <c r="E2" t="inlineStr">
        <is>
          <t>Validar con autoridad competente</t>
        </is>
      </c>
      <c r="F2" t="inlineStr">
        <is>
          <t>Constructora APIA SpA</t>
        </is>
      </c>
      <c r="G2" t="inlineStr">
        <is>
          <t>Validar número</t>
        </is>
      </c>
      <c r="H2" s="9" t="inlineStr">
        <is>
          <t>01-05-2026</t>
        </is>
      </c>
      <c r="I2" s="9" t="inlineStr">
        <is>
          <t>01-05-2028</t>
        </is>
      </c>
      <c r="J2">
        <f>SI(I2="";"";I2-HOY())</f>
        <v/>
      </c>
      <c r="K2">
        <f>SI(I2="";"No disponible";SI(J2&lt;0;"Vencido";SI(J2&lt;=30;"Por vencer en 30 días";SI(J2&lt;=60;"Por vencer en 60 días";"Vigente"))))</f>
        <v/>
      </c>
      <c r="L2" t="inlineStr"/>
      <c r="M2" t="inlineStr"/>
      <c r="N2" t="inlineStr"/>
    </row>
    <row r="3">
      <c r="A3" t="inlineStr">
        <is>
          <t>DOC-002</t>
        </is>
      </c>
      <c r="B3" t="inlineStr">
        <is>
          <t>Permiso/Aprobación</t>
        </is>
      </c>
      <c r="C3" t="inlineStr">
        <is>
          <t>Sistema de agua potable particular</t>
        </is>
      </c>
      <c r="D3" t="inlineStr">
        <is>
          <t>Sanitaria</t>
        </is>
      </c>
      <c r="E3" t="inlineStr">
        <is>
          <t>SEREMI Salud Aysén</t>
        </is>
      </c>
      <c r="F3" t="inlineStr">
        <is>
          <t>Constructora APIA SpA</t>
        </is>
      </c>
      <c r="G3" t="inlineStr">
        <is>
          <t>Validar número</t>
        </is>
      </c>
      <c r="H3" s="9" t="inlineStr">
        <is>
          <t>01-05-2026</t>
        </is>
      </c>
      <c r="I3" s="9" t="inlineStr">
        <is>
          <t>01-05-2028</t>
        </is>
      </c>
      <c r="J3">
        <f>SI(I3="";"";I3-HOY())</f>
        <v/>
      </c>
      <c r="K3">
        <f>SI(I3="";"No disponible";SI(J3&lt;0;"Vencido";SI(J3&lt;=30;"Por vencer en 30 días";SI(J3&lt;=60;"Por vencer en 60 días";"Vigente"))))</f>
        <v/>
      </c>
      <c r="L3" t="inlineStr"/>
      <c r="M3" t="inlineStr"/>
      <c r="N3" t="inlineStr"/>
    </row>
    <row r="4">
      <c r="A4" t="inlineStr">
        <is>
          <t>DOC-003</t>
        </is>
      </c>
      <c r="B4" t="inlineStr">
        <is>
          <t>Permiso/Aprobación</t>
        </is>
      </c>
      <c r="C4" t="inlineStr">
        <is>
          <t>Sistema de alcantarillado particular</t>
        </is>
      </c>
      <c r="D4" t="inlineStr">
        <is>
          <t>Sanitaria</t>
        </is>
      </c>
      <c r="E4" t="inlineStr">
        <is>
          <t>SEREMI Salud Aysén</t>
        </is>
      </c>
      <c r="F4" t="inlineStr">
        <is>
          <t>Constructora APIA SpA</t>
        </is>
      </c>
      <c r="G4" t="inlineStr">
        <is>
          <t>Validar número</t>
        </is>
      </c>
      <c r="H4" s="9" t="inlineStr">
        <is>
          <t>01-05-2026</t>
        </is>
      </c>
      <c r="I4" s="9" t="inlineStr">
        <is>
          <t>01-05-2028</t>
        </is>
      </c>
      <c r="J4">
        <f>SI(I4="";"";I4-HOY())</f>
        <v/>
      </c>
      <c r="K4">
        <f>SI(I4="";"No disponible";SI(J4&lt;0;"Vencido";SI(J4&lt;=30;"Por vencer en 30 días";SI(J4&lt;=60;"Por vencer en 60 días";"Vigente"))))</f>
        <v/>
      </c>
      <c r="L4" t="inlineStr"/>
      <c r="M4" t="inlineStr"/>
      <c r="N4" t="inlineStr"/>
    </row>
    <row r="5">
      <c r="A5" t="inlineStr">
        <is>
          <t>DOC-004</t>
        </is>
      </c>
      <c r="B5" t="inlineStr">
        <is>
          <t>Permiso/Aprobación</t>
        </is>
      </c>
      <c r="C5" t="inlineStr">
        <is>
          <t>Autorización bodega RESPEL</t>
        </is>
      </c>
      <c r="D5" t="inlineStr">
        <is>
          <t>Ambiental/RESPEL</t>
        </is>
      </c>
      <c r="E5" t="inlineStr">
        <is>
          <t>Validar con autoridad competente</t>
        </is>
      </c>
      <c r="F5" t="inlineStr">
        <is>
          <t>Constructora APIA SpA</t>
        </is>
      </c>
      <c r="G5" t="inlineStr">
        <is>
          <t>Validar número</t>
        </is>
      </c>
      <c r="H5" s="9" t="inlineStr">
        <is>
          <t>01-05-2026</t>
        </is>
      </c>
      <c r="I5" s="9" t="inlineStr">
        <is>
          <t>01-05-2028</t>
        </is>
      </c>
      <c r="J5">
        <f>SI(I5="";"";I5-HOY())</f>
        <v/>
      </c>
      <c r="K5">
        <f>SI(I5="";"No disponible";SI(J5&lt;0;"Vencido";SI(J5&lt;=30;"Por vencer en 30 días";SI(J5&lt;=60;"Por vencer en 60 días";"Vigente"))))</f>
        <v/>
      </c>
      <c r="L5" t="inlineStr"/>
      <c r="M5" t="inlineStr"/>
      <c r="N5" t="inlineStr"/>
    </row>
    <row r="6">
      <c r="A6" t="inlineStr">
        <is>
          <t>DOC-005</t>
        </is>
      </c>
      <c r="B6" t="inlineStr">
        <is>
          <t>Resolución sanitaria</t>
        </is>
      </c>
      <c r="C6" t="inlineStr">
        <is>
          <t>Control de plagas</t>
        </is>
      </c>
      <c r="D6" t="inlineStr">
        <is>
          <t>Sanitaria</t>
        </is>
      </c>
      <c r="E6" t="inlineStr">
        <is>
          <t>SEREMI Salud</t>
        </is>
      </c>
      <c r="F6" t="inlineStr">
        <is>
          <t>Empresa prestadora</t>
        </is>
      </c>
      <c r="G6" t="inlineStr">
        <is>
          <t>Validar número</t>
        </is>
      </c>
      <c r="H6" s="9" t="inlineStr">
        <is>
          <t>01-05-2026</t>
        </is>
      </c>
      <c r="I6" s="9" t="inlineStr">
        <is>
          <t>01-05-2028</t>
        </is>
      </c>
      <c r="J6">
        <f>SI(I6="";"";I6-HOY())</f>
        <v/>
      </c>
      <c r="K6">
        <f>SI(I6="";"No disponible";SI(J6&lt;0;"Vencido";SI(J6&lt;=30;"Por vencer en 30 días";SI(J6&lt;=60;"Por vencer en 60 días";"Vigente"))))</f>
        <v/>
      </c>
      <c r="L6" t="inlineStr"/>
      <c r="M6" t="inlineStr"/>
      <c r="N6" t="inlineStr"/>
    </row>
    <row r="7">
      <c r="A7" t="inlineStr">
        <is>
          <t>DOC-006</t>
        </is>
      </c>
      <c r="B7" t="inlineStr">
        <is>
          <t>Certificado</t>
        </is>
      </c>
      <c r="C7" t="inlineStr">
        <is>
          <t>Limpieza baños químicos y fosas sépticas</t>
        </is>
      </c>
      <c r="D7" t="inlineStr">
        <is>
          <t>Sanitaria</t>
        </is>
      </c>
      <c r="E7" t="inlineStr">
        <is>
          <t>SEREMI Salud</t>
        </is>
      </c>
      <c r="F7" t="inlineStr">
        <is>
          <t>Empresa prestadora</t>
        </is>
      </c>
      <c r="G7" t="inlineStr">
        <is>
          <t>Validar número</t>
        </is>
      </c>
      <c r="H7" s="9" t="inlineStr">
        <is>
          <t>01-05-2026</t>
        </is>
      </c>
      <c r="I7" s="9" t="inlineStr">
        <is>
          <t>01-05-2028</t>
        </is>
      </c>
      <c r="J7">
        <f>SI(I7="";"";I7-HOY())</f>
        <v/>
      </c>
      <c r="K7">
        <f>SI(I7="";"No disponible";SI(J7&lt;0;"Vencido";SI(J7&lt;=30;"Por vencer en 30 días";SI(J7&lt;=60;"Por vencer en 60 días";"Vigente"))))</f>
        <v/>
      </c>
      <c r="L7" t="inlineStr"/>
      <c r="M7" t="inlineStr"/>
      <c r="N7" t="inlineStr"/>
    </row>
    <row r="8">
      <c r="A8" t="inlineStr">
        <is>
          <t>DOC-007</t>
        </is>
      </c>
      <c r="B8" t="inlineStr">
        <is>
          <t>Certificado</t>
        </is>
      </c>
      <c r="C8" t="inlineStr">
        <is>
          <t>Análisis agua potable</t>
        </is>
      </c>
      <c r="D8" t="inlineStr">
        <is>
          <t>Sanitaria</t>
        </is>
      </c>
      <c r="E8" t="inlineStr">
        <is>
          <t>Laboratorio autorizado</t>
        </is>
      </c>
      <c r="F8" t="inlineStr">
        <is>
          <t>Constructora APIA SpA</t>
        </is>
      </c>
      <c r="G8" t="inlineStr">
        <is>
          <t>Validar número</t>
        </is>
      </c>
      <c r="H8" s="9" t="inlineStr">
        <is>
          <t>01-05-2026</t>
        </is>
      </c>
      <c r="I8" s="9" t="inlineStr">
        <is>
          <t>31-05-2026</t>
        </is>
      </c>
      <c r="J8">
        <f>SI(I8="";"";I8-HOY())</f>
        <v/>
      </c>
      <c r="K8">
        <f>SI(I8="";"No disponible";SI(J8&lt;0;"Vencido";SI(J8&lt;=30;"Por vencer en 30 días";SI(J8&lt;=60;"Por vencer en 60 días";"Vigente"))))</f>
        <v/>
      </c>
      <c r="L8" t="inlineStr"/>
      <c r="M8" t="inlineStr"/>
      <c r="N8" t="inlineStr"/>
    </row>
    <row r="9">
      <c r="A9" t="inlineStr">
        <is>
          <t>DOC-008</t>
        </is>
      </c>
      <c r="B9" t="inlineStr">
        <is>
          <t>Permiso</t>
        </is>
      </c>
      <c r="C9" t="inlineStr">
        <is>
          <t>Transporte RESPEL</t>
        </is>
      </c>
      <c r="D9" t="inlineStr">
        <is>
          <t>Ambiental</t>
        </is>
      </c>
      <c r="E9" t="inlineStr">
        <is>
          <t>Validar con autoridad competente</t>
        </is>
      </c>
      <c r="F9" t="inlineStr">
        <is>
          <t>Transportista RESPEL</t>
        </is>
      </c>
      <c r="G9" t="inlineStr">
        <is>
          <t>Validar número</t>
        </is>
      </c>
      <c r="H9" s="9" t="inlineStr">
        <is>
          <t>01-05-2026</t>
        </is>
      </c>
      <c r="I9" s="9" t="inlineStr">
        <is>
          <t>01-05-2028</t>
        </is>
      </c>
      <c r="J9">
        <f>SI(I9="";"";I9-HOY())</f>
        <v/>
      </c>
      <c r="K9">
        <f>SI(I9="";"No disponible";SI(J9&lt;0;"Vencido";SI(J9&lt;=30;"Por vencer en 30 días";SI(J9&lt;=60;"Por vencer en 60 días";"Vigente"))))</f>
        <v/>
      </c>
      <c r="L9" t="inlineStr"/>
      <c r="M9" t="inlineStr"/>
      <c r="N9" t="inlineStr"/>
    </row>
    <row r="10">
      <c r="A10" t="inlineStr">
        <is>
          <t>DOC-009</t>
        </is>
      </c>
      <c r="B10" t="inlineStr">
        <is>
          <t>Declaración</t>
        </is>
      </c>
      <c r="C10" t="inlineStr">
        <is>
          <t>Declaración anual emisiones RETC</t>
        </is>
      </c>
      <c r="D10" t="inlineStr">
        <is>
          <t>Atmosférica</t>
        </is>
      </c>
      <c r="E10" t="inlineStr">
        <is>
          <t>MMA / RETC</t>
        </is>
      </c>
      <c r="F10" t="inlineStr">
        <is>
          <t>Constructora APIA SpA</t>
        </is>
      </c>
      <c r="G10" t="inlineStr">
        <is>
          <t>Validar folio</t>
        </is>
      </c>
      <c r="H10" s="9" t="inlineStr">
        <is>
          <t>01-01-2027</t>
        </is>
      </c>
      <c r="I10" s="9" t="inlineStr">
        <is>
          <t>30-04-2027</t>
        </is>
      </c>
      <c r="J10">
        <f>SI(I10="";"";I10-HOY())</f>
        <v/>
      </c>
      <c r="K10">
        <f>SI(I10="";"No disponible";SI(J10&lt;0;"Vencido";SI(J10&lt;=30;"Por vencer en 30 días";SI(J10&lt;=60;"Por vencer en 60 días";"Vigente"))))</f>
        <v/>
      </c>
      <c r="L10" t="inlineStr"/>
      <c r="M10" t="inlineStr"/>
      <c r="N10" t="inlineStr"/>
    </row>
    <row r="11">
      <c r="A11" t="inlineStr">
        <is>
          <t>DOC-010</t>
        </is>
      </c>
      <c r="B11" t="inlineStr">
        <is>
          <t>Certificado</t>
        </is>
      </c>
      <c r="C11" t="inlineStr">
        <is>
          <t>Disposición final residuos domiciliarios</t>
        </is>
      </c>
      <c r="D11" t="inlineStr">
        <is>
          <t>Residuos</t>
        </is>
      </c>
      <c r="E11" t="inlineStr">
        <is>
          <t>Vertedero autorizado</t>
        </is>
      </c>
      <c r="F11" t="inlineStr">
        <is>
          <t>Empresa transportista</t>
        </is>
      </c>
      <c r="G11" t="inlineStr">
        <is>
          <t>Validar número</t>
        </is>
      </c>
      <c r="H11" s="9" t="inlineStr">
        <is>
          <t>01-05-2026</t>
        </is>
      </c>
      <c r="I11" s="9" t="inlineStr">
        <is>
          <t>31-05-2026</t>
        </is>
      </c>
      <c r="J11">
        <f>SI(I11="";"";I11-HOY())</f>
        <v/>
      </c>
      <c r="K11">
        <f>SI(I11="";"No disponible";SI(J11&lt;0;"Vencido";SI(J11&lt;=30;"Por vencer en 30 días";SI(J11&lt;=60;"Por vencer en 60 días";"Vigente"))))</f>
        <v/>
      </c>
      <c r="L11" t="inlineStr"/>
      <c r="M11" t="inlineStr"/>
      <c r="N11" t="inlineStr"/>
    </row>
    <row r="12">
      <c r="H12" s="9" t="n"/>
      <c r="I12" s="9" t="n"/>
      <c r="J12">
        <f>SI(I12="";"";I12-HOY())</f>
        <v/>
      </c>
      <c r="K12">
        <f>SI(I12="";"No disponible";SI(J12&lt;0;"Vencido";SI(J12&lt;=30;"Por vencer en 30 días";SI(J12&lt;=60;"Por vencer en 60 días";"Vigente"))))</f>
        <v/>
      </c>
    </row>
    <row r="13">
      <c r="H13" s="9" t="n"/>
      <c r="I13" s="9" t="n"/>
      <c r="J13">
        <f>SI(I13="";"";I13-HOY())</f>
        <v/>
      </c>
      <c r="K13">
        <f>SI(I13="";"No disponible";SI(J13&lt;0;"Vencido";SI(J13&lt;=30;"Por vencer en 30 días";SI(J13&lt;=60;"Por vencer en 60 días";"Vigente"))))</f>
        <v/>
      </c>
    </row>
    <row r="14">
      <c r="H14" s="9" t="n"/>
      <c r="I14" s="9" t="n"/>
      <c r="J14">
        <f>SI(I14="";"";I14-HOY())</f>
        <v/>
      </c>
      <c r="K14">
        <f>SI(I14="";"No disponible";SI(J14&lt;0;"Vencido";SI(J14&lt;=30;"Por vencer en 30 días";SI(J14&lt;=60;"Por vencer en 60 días";"Vigente"))))</f>
        <v/>
      </c>
    </row>
    <row r="15">
      <c r="H15" s="9" t="n"/>
      <c r="I15" s="9" t="n"/>
      <c r="J15">
        <f>SI(I15="";"";I15-HOY())</f>
        <v/>
      </c>
      <c r="K15">
        <f>SI(I15="";"No disponible";SI(J15&lt;0;"Vencido";SI(J15&lt;=30;"Por vencer en 30 días";SI(J15&lt;=60;"Por vencer en 60 días";"Vigente"))))</f>
        <v/>
      </c>
    </row>
    <row r="16">
      <c r="H16" s="9" t="n"/>
      <c r="I16" s="9" t="n"/>
      <c r="J16">
        <f>SI(I16="";"";I16-HOY())</f>
        <v/>
      </c>
      <c r="K16">
        <f>SI(I16="";"No disponible";SI(J16&lt;0;"Vencido";SI(J16&lt;=30;"Por vencer en 30 días";SI(J16&lt;=60;"Por vencer en 60 días";"Vigente"))))</f>
        <v/>
      </c>
    </row>
    <row r="17">
      <c r="H17" s="9" t="n"/>
      <c r="I17" s="9" t="n"/>
      <c r="J17">
        <f>SI(I17="";"";I17-HOY())</f>
        <v/>
      </c>
      <c r="K17">
        <f>SI(I17="";"No disponible";SI(J17&lt;0;"Vencido";SI(J17&lt;=30;"Por vencer en 30 días";SI(J17&lt;=60;"Por vencer en 60 días";"Vigente"))))</f>
        <v/>
      </c>
    </row>
    <row r="18">
      <c r="H18" s="9" t="n"/>
      <c r="I18" s="9" t="n"/>
      <c r="J18">
        <f>SI(I18="";"";I18-HOY())</f>
        <v/>
      </c>
      <c r="K18">
        <f>SI(I18="";"No disponible";SI(J18&lt;0;"Vencido";SI(J18&lt;=30;"Por vencer en 30 días";SI(J18&lt;=60;"Por vencer en 60 días";"Vigente"))))</f>
        <v/>
      </c>
    </row>
    <row r="19">
      <c r="H19" s="9" t="n"/>
      <c r="I19" s="9" t="n"/>
      <c r="J19">
        <f>SI(I19="";"";I19-HOY())</f>
        <v/>
      </c>
      <c r="K19">
        <f>SI(I19="";"No disponible";SI(J19&lt;0;"Vencido";SI(J19&lt;=30;"Por vencer en 30 días";SI(J19&lt;=60;"Por vencer en 60 días";"Vigente"))))</f>
        <v/>
      </c>
    </row>
    <row r="20">
      <c r="H20" s="9" t="n"/>
      <c r="I20" s="9" t="n"/>
      <c r="J20">
        <f>SI(I20="";"";I20-HOY())</f>
        <v/>
      </c>
      <c r="K20">
        <f>SI(I20="";"No disponible";SI(J20&lt;0;"Vencido";SI(J20&lt;=30;"Por vencer en 30 días";SI(J20&lt;=60;"Por vencer en 60 días";"Vigente"))))</f>
        <v/>
      </c>
    </row>
    <row r="21">
      <c r="H21" s="9" t="n"/>
      <c r="I21" s="9" t="n"/>
      <c r="J21">
        <f>SI(I21="";"";I21-HOY())</f>
        <v/>
      </c>
      <c r="K21">
        <f>SI(I21="";"No disponible";SI(J21&lt;0;"Vencido";SI(J21&lt;=30;"Por vencer en 30 días";SI(J21&lt;=60;"Por vencer en 60 días";"Vigente"))))</f>
        <v/>
      </c>
    </row>
    <row r="22">
      <c r="H22" s="9" t="n"/>
      <c r="I22" s="9" t="n"/>
      <c r="J22">
        <f>SI(I22="";"";I22-HOY())</f>
        <v/>
      </c>
      <c r="K22">
        <f>SI(I22="";"No disponible";SI(J22&lt;0;"Vencido";SI(J22&lt;=30;"Por vencer en 30 días";SI(J22&lt;=60;"Por vencer en 60 días";"Vigente"))))</f>
        <v/>
      </c>
    </row>
    <row r="23">
      <c r="H23" s="9" t="n"/>
      <c r="I23" s="9" t="n"/>
      <c r="J23">
        <f>SI(I23="";"";I23-HOY())</f>
        <v/>
      </c>
      <c r="K23">
        <f>SI(I23="";"No disponible";SI(J23&lt;0;"Vencido";SI(J23&lt;=30;"Por vencer en 30 días";SI(J23&lt;=60;"Por vencer en 60 días";"Vigente"))))</f>
        <v/>
      </c>
    </row>
    <row r="24">
      <c r="H24" s="9" t="n"/>
      <c r="I24" s="9" t="n"/>
      <c r="J24">
        <f>SI(I24="";"";I24-HOY())</f>
        <v/>
      </c>
      <c r="K24">
        <f>SI(I24="";"No disponible";SI(J24&lt;0;"Vencido";SI(J24&lt;=30;"Por vencer en 30 días";SI(J24&lt;=60;"Por vencer en 60 días";"Vigente"))))</f>
        <v/>
      </c>
    </row>
    <row r="25">
      <c r="H25" s="9" t="n"/>
      <c r="I25" s="9" t="n"/>
      <c r="J25">
        <f>SI(I25="";"";I25-HOY())</f>
        <v/>
      </c>
      <c r="K25">
        <f>SI(I25="";"No disponible";SI(J25&lt;0;"Vencido";SI(J25&lt;=30;"Por vencer en 30 días";SI(J25&lt;=60;"Por vencer en 60 días";"Vigente"))))</f>
        <v/>
      </c>
    </row>
    <row r="26">
      <c r="H26" s="9" t="n"/>
      <c r="I26" s="9" t="n"/>
      <c r="J26">
        <f>SI(I26="";"";I26-HOY())</f>
        <v/>
      </c>
      <c r="K26">
        <f>SI(I26="";"No disponible";SI(J26&lt;0;"Vencido";SI(J26&lt;=30;"Por vencer en 30 días";SI(J26&lt;=60;"Por vencer en 60 días";"Vigente"))))</f>
        <v/>
      </c>
    </row>
    <row r="27">
      <c r="H27" s="9" t="n"/>
      <c r="I27" s="9" t="n"/>
      <c r="J27">
        <f>SI(I27="";"";I27-HOY())</f>
        <v/>
      </c>
      <c r="K27">
        <f>SI(I27="";"No disponible";SI(J27&lt;0;"Vencido";SI(J27&lt;=30;"Por vencer en 30 días";SI(J27&lt;=60;"Por vencer en 60 días";"Vigente"))))</f>
        <v/>
      </c>
    </row>
    <row r="28">
      <c r="H28" s="9" t="n"/>
      <c r="I28" s="9" t="n"/>
      <c r="J28">
        <f>SI(I28="";"";I28-HOY())</f>
        <v/>
      </c>
      <c r="K28">
        <f>SI(I28="";"No disponible";SI(J28&lt;0;"Vencido";SI(J28&lt;=30;"Por vencer en 30 días";SI(J28&lt;=60;"Por vencer en 60 días";"Vigente"))))</f>
        <v/>
      </c>
    </row>
    <row r="29">
      <c r="H29" s="9" t="n"/>
      <c r="I29" s="9" t="n"/>
      <c r="J29">
        <f>SI(I29="";"";I29-HOY())</f>
        <v/>
      </c>
      <c r="K29">
        <f>SI(I29="";"No disponible";SI(J29&lt;0;"Vencido";SI(J29&lt;=30;"Por vencer en 30 días";SI(J29&lt;=60;"Por vencer en 60 días";"Vigente"))))</f>
        <v/>
      </c>
    </row>
    <row r="30">
      <c r="H30" s="9" t="n"/>
      <c r="I30" s="9" t="n"/>
      <c r="J30">
        <f>SI(I30="";"";I30-HOY())</f>
        <v/>
      </c>
      <c r="K30">
        <f>SI(I30="";"No disponible";SI(J30&lt;0;"Vencido";SI(J30&lt;=30;"Por vencer en 30 días";SI(J30&lt;=60;"Por vencer en 60 días";"Vigente"))))</f>
        <v/>
      </c>
    </row>
  </sheetData>
  <conditionalFormatting sqref="K2:K31">
    <cfRule type="cellIs" priority="1" operator="equal" dxfId="2">
      <formula>"Vencido"</formula>
    </cfRule>
    <cfRule type="cellIs" priority="2" operator="equal" dxfId="6">
      <formula>"Por vencer en 30 días"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7" customWidth="1" min="3" max="3"/>
    <col width="14" customWidth="1" min="4" max="4"/>
    <col width="15" customWidth="1" min="5" max="5"/>
    <col width="14" customWidth="1" min="6" max="6"/>
    <col width="20" customWidth="1" min="7" max="7"/>
    <col width="10" customWidth="1" min="8" max="8"/>
    <col width="8" customWidth="1" min="9" max="9"/>
    <col width="12" customWidth="1" min="10" max="10"/>
    <col width="14" customWidth="1" min="11" max="11"/>
    <col width="15" customWidth="1" min="12" max="12"/>
    <col width="28" customWidth="1" min="13" max="13"/>
    <col width="15" customWidth="1" min="14" max="14"/>
    <col width="22" customWidth="1" min="15" max="15"/>
    <col width="32" customWidth="1" min="16" max="16"/>
    <col width="11" customWidth="1" min="17" max="17"/>
    <col width="15" customWidth="1" min="18" max="18"/>
  </cols>
  <sheetData>
    <row r="1">
      <c r="A1" s="8" t="inlineStr">
        <is>
          <t>Mes</t>
        </is>
      </c>
      <c r="B1" s="8" t="inlineStr">
        <is>
          <t>Fecha</t>
        </is>
      </c>
      <c r="C1" s="8" t="inlineStr">
        <is>
          <t>Área generadora</t>
        </is>
      </c>
      <c r="D1" s="8" t="inlineStr">
        <is>
          <t>Tipo residuo</t>
        </is>
      </c>
      <c r="E1" s="8" t="inlineStr">
        <is>
          <t>Clasificación</t>
        </is>
      </c>
      <c r="F1" s="8" t="inlineStr">
        <is>
          <t>Peligrosidad</t>
        </is>
      </c>
      <c r="G1" s="8" t="inlineStr">
        <is>
          <t>Código/descripción</t>
        </is>
      </c>
      <c r="H1" s="8" t="inlineStr">
        <is>
          <t>Cantidad</t>
        </is>
      </c>
      <c r="I1" s="8" t="inlineStr">
        <is>
          <t>Unidad</t>
        </is>
      </c>
      <c r="J1" s="8" t="inlineStr">
        <is>
          <t>Contenedor</t>
        </is>
      </c>
      <c r="K1" s="8" t="inlineStr">
        <is>
          <t>Fecha retiro</t>
        </is>
      </c>
      <c r="L1" s="8" t="inlineStr">
        <is>
          <t>Transportista</t>
        </is>
      </c>
      <c r="M1" s="8" t="inlineStr">
        <is>
          <t>Autorización transportista</t>
        </is>
      </c>
      <c r="N1" s="8" t="inlineStr">
        <is>
          <t>Destino final</t>
        </is>
      </c>
      <c r="O1" s="8" t="inlineStr">
        <is>
          <t>Autorización destino</t>
        </is>
      </c>
      <c r="P1" s="8" t="inlineStr">
        <is>
          <t>N° guía/manifiesto/certificado</t>
        </is>
      </c>
      <c r="Q1" s="8" t="inlineStr">
        <is>
          <t>Evidencia</t>
        </is>
      </c>
      <c r="R1" s="8" t="inlineStr">
        <is>
          <t>Observaciones</t>
        </is>
      </c>
    </row>
    <row r="2">
      <c r="A2">
        <f>Config!B2</f>
        <v/>
      </c>
    </row>
  </sheetData>
  <dataValidations count="2">
    <dataValidation sqref="D2:D200" showDropDown="0" showInputMessage="0" showErrorMessage="0" allowBlank="1" errorTitle="Valor no válido" error="Seleccione un valor de la lista" type="list">
      <formula1>'_Listas'!$L$2:$L$15</formula1>
    </dataValidation>
    <dataValidation sqref="I2:I200" showDropDown="0" showInputMessage="0" showErrorMessage="0" allowBlank="1" errorTitle="Valor no válido" error="Seleccione un valor de la lista" type="list">
      <formula1>'_Listas'!$M$2:$M$8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1" customWidth="1" min="4" max="4"/>
    <col width="14" customWidth="1" min="5" max="5"/>
    <col width="16" customWidth="1" min="6" max="6"/>
    <col width="20" customWidth="1" min="7" max="7"/>
    <col width="23" customWidth="1" min="8" max="8"/>
    <col width="23" customWidth="1" min="9" max="9"/>
    <col width="30" customWidth="1" min="10" max="10"/>
    <col width="20" customWidth="1" min="11" max="11"/>
    <col width="25" customWidth="1" min="12" max="12"/>
    <col width="22" customWidth="1" min="13" max="13"/>
    <col width="11" customWidth="1" min="14" max="14"/>
    <col width="15" customWidth="1" min="15" max="15"/>
  </cols>
  <sheetData>
    <row r="1">
      <c r="A1" s="8" t="inlineStr">
        <is>
          <t>Mes</t>
        </is>
      </c>
      <c r="B1" s="8" t="inlineStr">
        <is>
          <t>Fecha</t>
        </is>
      </c>
      <c r="C1" s="8" t="inlineStr">
        <is>
          <t>Tipo control</t>
        </is>
      </c>
      <c r="D1" s="8" t="inlineStr">
        <is>
          <t>Sistema/instalación</t>
        </is>
      </c>
      <c r="E1" s="8" t="inlineStr">
        <is>
          <t>Agua potable</t>
        </is>
      </c>
      <c r="F1" s="8" t="inlineStr">
        <is>
          <t>Cloro residual</t>
        </is>
      </c>
      <c r="G1" s="8" t="inlineStr">
        <is>
          <t>Resultado análisis</t>
        </is>
      </c>
      <c r="H1" s="8" t="inlineStr">
        <is>
          <t>Limpieza fosa séptica</t>
        </is>
      </c>
      <c r="I1" s="8" t="inlineStr">
        <is>
          <t>Limpieza baño químico</t>
        </is>
      </c>
      <c r="J1" s="8" t="inlineStr">
        <is>
          <t>Limpieza cámara desgrasadora</t>
        </is>
      </c>
      <c r="K1" s="8" t="inlineStr">
        <is>
          <t>Empresa prestadora</t>
        </is>
      </c>
      <c r="L1" s="8" t="inlineStr">
        <is>
          <t>N° resolución sanitaria</t>
        </is>
      </c>
      <c r="M1" s="8" t="inlineStr">
        <is>
          <t>Certificado/respaldo</t>
        </is>
      </c>
      <c r="N1" s="8" t="inlineStr">
        <is>
          <t>Resultado</t>
        </is>
      </c>
      <c r="O1" s="8" t="inlineStr">
        <is>
          <t>Observaciones</t>
        </is>
      </c>
    </row>
    <row r="2">
      <c r="A2">
        <f>Config!B2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9" customWidth="1" min="4" max="4"/>
    <col width="8" customWidth="1" min="5" max="5"/>
    <col width="9" customWidth="1" min="6" max="6"/>
    <col width="15" customWidth="1" min="7" max="7"/>
    <col width="18" customWidth="1" min="8" max="8"/>
    <col width="12" customWidth="1" min="9" max="9"/>
    <col width="11" customWidth="1" min="10" max="10"/>
    <col width="15" customWidth="1" min="11" max="11"/>
  </cols>
  <sheetData>
    <row r="1">
      <c r="A1" s="8" t="inlineStr">
        <is>
          <t>Fecha</t>
        </is>
      </c>
      <c r="B1" s="8" t="inlineStr">
        <is>
          <t>Tema</t>
        </is>
      </c>
      <c r="C1" s="8" t="inlineStr">
        <is>
          <t>Tipo capacitación</t>
        </is>
      </c>
      <c r="D1" s="8" t="inlineStr">
        <is>
          <t>Relator</t>
        </is>
      </c>
      <c r="E1" s="8" t="inlineStr">
        <is>
          <t>Cargo</t>
        </is>
      </c>
      <c r="F1" s="8" t="inlineStr">
        <is>
          <t>Empresa</t>
        </is>
      </c>
      <c r="G1" s="8" t="inlineStr">
        <is>
          <t>N° asistentes</t>
        </is>
      </c>
      <c r="H1" s="8" t="inlineStr">
        <is>
          <t>Lista asistencia</t>
        </is>
      </c>
      <c r="I1" s="8" t="inlineStr">
        <is>
          <t>Evaluación</t>
        </is>
      </c>
      <c r="J1" s="8" t="inlineStr">
        <is>
          <t>Evidencia</t>
        </is>
      </c>
      <c r="K1" s="8" t="inlineStr">
        <is>
          <t>Observaciones</t>
        </is>
      </c>
    </row>
  </sheetData>
  <dataValidations count="1">
    <dataValidation sqref="B2:B200" showDropDown="0" showInputMessage="0" showErrorMessage="0" allowBlank="1" errorTitle="Valor no válido" error="Seleccione un valor de la lista" type="list">
      <formula1>'_Listas'!$Q$2:$Q$14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1" customWidth="1" min="4" max="4"/>
    <col width="22" customWidth="1" min="5" max="5"/>
    <col width="13" customWidth="1" min="6" max="6"/>
    <col width="16" customWidth="1" min="7" max="7"/>
    <col width="15" customWidth="1" min="8" max="8"/>
    <col width="16" customWidth="1" min="9" max="9"/>
    <col width="8" customWidth="1" min="10" max="10"/>
    <col width="13" customWidth="1" min="11" max="11"/>
    <col width="13" customWidth="1" min="12" max="12"/>
    <col width="15" customWidth="1" min="13" max="13"/>
  </cols>
  <sheetData>
    <row r="1">
      <c r="A1" s="8" t="inlineStr">
        <is>
          <t>ID foto</t>
        </is>
      </c>
      <c r="B1" s="8" t="inlineStr">
        <is>
          <t>Fecha</t>
        </is>
      </c>
      <c r="C1" s="8" t="inlineStr">
        <is>
          <t>Mes</t>
        </is>
      </c>
      <c r="D1" s="8" t="inlineStr">
        <is>
          <t>Ubicación</t>
        </is>
      </c>
      <c r="E1" s="8" t="inlineStr">
        <is>
          <t>Componente ambiental</t>
        </is>
      </c>
      <c r="F1" s="8" t="inlineStr">
        <is>
          <t>Descripción</t>
        </is>
      </c>
      <c r="G1" s="8" t="inlineStr">
        <is>
          <t>Tipo evidencia</t>
        </is>
      </c>
      <c r="H1" s="8" t="inlineStr">
        <is>
          <t>Antes/después</t>
        </is>
      </c>
      <c r="I1" s="8" t="inlineStr">
        <is>
          <t>Nombre archivo</t>
        </is>
      </c>
      <c r="J1" s="8" t="inlineStr">
        <is>
          <t>Enlace</t>
        </is>
      </c>
      <c r="K1" s="8" t="inlineStr">
        <is>
          <t>Coordenadas</t>
        </is>
      </c>
      <c r="L1" s="8" t="inlineStr">
        <is>
          <t>Responsable</t>
        </is>
      </c>
      <c r="M1" s="8" t="inlineStr">
        <is>
          <t>Observaciones</t>
        </is>
      </c>
    </row>
    <row r="2">
      <c r="A2" t="inlineStr">
        <is>
          <t>FOT-001</t>
        </is>
      </c>
      <c r="C2">
        <f>Config!B2</f>
        <v/>
      </c>
    </row>
    <row r="3">
      <c r="A3" t="inlineStr">
        <is>
          <t>FOT-002</t>
        </is>
      </c>
      <c r="C3">
        <f>Config!B2</f>
        <v/>
      </c>
    </row>
    <row r="4">
      <c r="A4" t="inlineStr">
        <is>
          <t>FOT-003</t>
        </is>
      </c>
      <c r="C4">
        <f>Config!B2</f>
        <v/>
      </c>
    </row>
    <row r="5">
      <c r="A5" t="inlineStr">
        <is>
          <t>FOT-004</t>
        </is>
      </c>
      <c r="C5">
        <f>Config!B2</f>
        <v/>
      </c>
    </row>
    <row r="6">
      <c r="A6" t="inlineStr">
        <is>
          <t>FOT-005</t>
        </is>
      </c>
      <c r="C6">
        <f>Config!B2</f>
        <v/>
      </c>
    </row>
    <row r="7">
      <c r="A7" t="inlineStr">
        <is>
          <t>FOT-006</t>
        </is>
      </c>
      <c r="C7">
        <f>Config!B2</f>
        <v/>
      </c>
    </row>
    <row r="8">
      <c r="A8" t="inlineStr">
        <is>
          <t>FOT-007</t>
        </is>
      </c>
      <c r="C8">
        <f>Config!B2</f>
        <v/>
      </c>
    </row>
    <row r="9">
      <c r="A9" t="inlineStr">
        <is>
          <t>FOT-008</t>
        </is>
      </c>
      <c r="C9">
        <f>Config!B2</f>
        <v/>
      </c>
    </row>
    <row r="10">
      <c r="A10" t="inlineStr">
        <is>
          <t>FOT-009</t>
        </is>
      </c>
      <c r="C10">
        <f>Config!B2</f>
        <v/>
      </c>
    </row>
    <row r="11">
      <c r="A11" t="inlineStr">
        <is>
          <t>FOT-010</t>
        </is>
      </c>
      <c r="C11">
        <f>Config!B2</f>
        <v/>
      </c>
    </row>
    <row r="12">
      <c r="A12" t="inlineStr">
        <is>
          <t>FOT-011</t>
        </is>
      </c>
      <c r="C12">
        <f>Config!B2</f>
        <v/>
      </c>
    </row>
    <row r="13">
      <c r="A13" t="inlineStr">
        <is>
          <t>FOT-012</t>
        </is>
      </c>
      <c r="C13">
        <f>Config!B2</f>
        <v/>
      </c>
    </row>
    <row r="14">
      <c r="A14" t="inlineStr">
        <is>
          <t>FOT-013</t>
        </is>
      </c>
      <c r="C14">
        <f>Config!B2</f>
        <v/>
      </c>
    </row>
    <row r="15">
      <c r="A15" t="inlineStr">
        <is>
          <t>FOT-014</t>
        </is>
      </c>
      <c r="C15">
        <f>Config!B2</f>
        <v/>
      </c>
    </row>
    <row r="16">
      <c r="A16" t="inlineStr">
        <is>
          <t>FOT-015</t>
        </is>
      </c>
      <c r="C16">
        <f>Config!B2</f>
        <v/>
      </c>
    </row>
    <row r="17">
      <c r="A17" t="inlineStr">
        <is>
          <t>FOT-016</t>
        </is>
      </c>
      <c r="C17">
        <f>Config!B2</f>
        <v/>
      </c>
    </row>
    <row r="18">
      <c r="A18" t="inlineStr">
        <is>
          <t>FOT-017</t>
        </is>
      </c>
      <c r="C18">
        <f>Config!B2</f>
        <v/>
      </c>
    </row>
    <row r="19">
      <c r="A19" t="inlineStr">
        <is>
          <t>FOT-018</t>
        </is>
      </c>
      <c r="C19">
        <f>Config!B2</f>
        <v/>
      </c>
    </row>
    <row r="20">
      <c r="A20" t="inlineStr">
        <is>
          <t>FOT-019</t>
        </is>
      </c>
      <c r="C20">
        <f>Config!B2</f>
        <v/>
      </c>
    </row>
    <row r="21">
      <c r="A21" t="inlineStr">
        <is>
          <t>FOT-020</t>
        </is>
      </c>
      <c r="C21">
        <f>Config!B2</f>
        <v/>
      </c>
    </row>
    <row r="22">
      <c r="A22" t="inlineStr">
        <is>
          <t>FOT-021</t>
        </is>
      </c>
      <c r="C22">
        <f>Config!B2</f>
        <v/>
      </c>
    </row>
    <row r="23">
      <c r="A23" t="inlineStr">
        <is>
          <t>FOT-022</t>
        </is>
      </c>
      <c r="C23">
        <f>Config!B2</f>
        <v/>
      </c>
    </row>
    <row r="24">
      <c r="A24" t="inlineStr">
        <is>
          <t>FOT-023</t>
        </is>
      </c>
      <c r="C24">
        <f>Config!B2</f>
        <v/>
      </c>
    </row>
    <row r="25">
      <c r="A25" t="inlineStr">
        <is>
          <t>FOT-024</t>
        </is>
      </c>
      <c r="C25">
        <f>Config!B2</f>
        <v/>
      </c>
    </row>
    <row r="26">
      <c r="A26" t="inlineStr">
        <is>
          <t>FOT-025</t>
        </is>
      </c>
      <c r="C26">
        <f>Config!B2</f>
        <v/>
      </c>
    </row>
    <row r="27">
      <c r="A27" t="inlineStr">
        <is>
          <t>FOT-026</t>
        </is>
      </c>
      <c r="C27">
        <f>Config!B2</f>
        <v/>
      </c>
    </row>
    <row r="28">
      <c r="A28" t="inlineStr">
        <is>
          <t>FOT-027</t>
        </is>
      </c>
      <c r="C28">
        <f>Config!B2</f>
        <v/>
      </c>
    </row>
    <row r="29">
      <c r="A29" t="inlineStr">
        <is>
          <t>FOT-028</t>
        </is>
      </c>
      <c r="C29">
        <f>Config!B2</f>
        <v/>
      </c>
    </row>
    <row r="30">
      <c r="A30" t="inlineStr">
        <is>
          <t>FOT-029</t>
        </is>
      </c>
      <c r="C30">
        <f>Config!B2</f>
        <v/>
      </c>
    </row>
    <row r="31">
      <c r="A31" t="inlineStr">
        <is>
          <t>FOT-030</t>
        </is>
      </c>
      <c r="C31">
        <f>Config!B2</f>
        <v/>
      </c>
    </row>
    <row r="32">
      <c r="A32" t="inlineStr">
        <is>
          <t>FOT-031</t>
        </is>
      </c>
      <c r="C32">
        <f>Config!B2</f>
        <v/>
      </c>
    </row>
    <row r="33">
      <c r="A33" t="inlineStr">
        <is>
          <t>FOT-032</t>
        </is>
      </c>
      <c r="C33">
        <f>Config!B2</f>
        <v/>
      </c>
    </row>
    <row r="34">
      <c r="A34" t="inlineStr">
        <is>
          <t>FOT-033</t>
        </is>
      </c>
      <c r="C34">
        <f>Config!B2</f>
        <v/>
      </c>
    </row>
    <row r="35">
      <c r="A35" t="inlineStr">
        <is>
          <t>FOT-034</t>
        </is>
      </c>
      <c r="C35">
        <f>Config!B2</f>
        <v/>
      </c>
    </row>
    <row r="36">
      <c r="A36" t="inlineStr">
        <is>
          <t>FOT-035</t>
        </is>
      </c>
      <c r="C36">
        <f>Config!B2</f>
        <v/>
      </c>
    </row>
    <row r="37">
      <c r="A37" t="inlineStr">
        <is>
          <t>FOT-036</t>
        </is>
      </c>
      <c r="C37">
        <f>Config!B2</f>
        <v/>
      </c>
    </row>
    <row r="38">
      <c r="A38" t="inlineStr">
        <is>
          <t>FOT-037</t>
        </is>
      </c>
      <c r="C38">
        <f>Config!B2</f>
        <v/>
      </c>
    </row>
    <row r="39">
      <c r="A39" t="inlineStr">
        <is>
          <t>FOT-038</t>
        </is>
      </c>
      <c r="C39">
        <f>Config!B2</f>
        <v/>
      </c>
    </row>
    <row r="40">
      <c r="A40" t="inlineStr">
        <is>
          <t>FOT-039</t>
        </is>
      </c>
      <c r="C40">
        <f>Config!B2</f>
        <v/>
      </c>
    </row>
    <row r="41">
      <c r="A41" t="inlineStr">
        <is>
          <t>FOT-040</t>
        </is>
      </c>
      <c r="C41">
        <f>Config!B2</f>
        <v/>
      </c>
    </row>
    <row r="42">
      <c r="A42" t="inlineStr">
        <is>
          <t>FOT-041</t>
        </is>
      </c>
      <c r="C42">
        <f>Config!B2</f>
        <v/>
      </c>
    </row>
    <row r="43">
      <c r="A43" t="inlineStr">
        <is>
          <t>FOT-042</t>
        </is>
      </c>
      <c r="C43">
        <f>Config!B2</f>
        <v/>
      </c>
    </row>
    <row r="44">
      <c r="A44" t="inlineStr">
        <is>
          <t>FOT-043</t>
        </is>
      </c>
      <c r="C44">
        <f>Config!B2</f>
        <v/>
      </c>
    </row>
    <row r="45">
      <c r="A45" t="inlineStr">
        <is>
          <t>FOT-044</t>
        </is>
      </c>
      <c r="C45">
        <f>Config!B2</f>
        <v/>
      </c>
    </row>
    <row r="46">
      <c r="A46" t="inlineStr">
        <is>
          <t>FOT-045</t>
        </is>
      </c>
      <c r="C46">
        <f>Config!B2</f>
        <v/>
      </c>
    </row>
    <row r="47">
      <c r="A47" t="inlineStr">
        <is>
          <t>FOT-046</t>
        </is>
      </c>
      <c r="C47">
        <f>Config!B2</f>
        <v/>
      </c>
    </row>
    <row r="48">
      <c r="A48" t="inlineStr">
        <is>
          <t>FOT-047</t>
        </is>
      </c>
      <c r="C48">
        <f>Config!B2</f>
        <v/>
      </c>
    </row>
    <row r="49">
      <c r="A49" t="inlineStr">
        <is>
          <t>FOT-048</t>
        </is>
      </c>
      <c r="C49">
        <f>Config!B2</f>
        <v/>
      </c>
    </row>
    <row r="50">
      <c r="A50" t="inlineStr">
        <is>
          <t>FOT-049</t>
        </is>
      </c>
      <c r="C50">
        <f>Config!B2</f>
        <v/>
      </c>
    </row>
    <row r="51">
      <c r="A51" t="inlineStr">
        <is>
          <t>FOT-050</t>
        </is>
      </c>
      <c r="C51">
        <f>Config!B2</f>
        <v/>
      </c>
    </row>
    <row r="52">
      <c r="A52" t="inlineStr">
        <is>
          <t>FOT-051</t>
        </is>
      </c>
      <c r="C52">
        <f>Config!B2</f>
        <v/>
      </c>
    </row>
    <row r="53">
      <c r="A53" t="inlineStr">
        <is>
          <t>FOT-052</t>
        </is>
      </c>
      <c r="C53">
        <f>Config!B2</f>
        <v/>
      </c>
    </row>
    <row r="54">
      <c r="A54" t="inlineStr">
        <is>
          <t>FOT-053</t>
        </is>
      </c>
      <c r="C54">
        <f>Config!B2</f>
        <v/>
      </c>
    </row>
    <row r="55">
      <c r="A55" t="inlineStr">
        <is>
          <t>FOT-054</t>
        </is>
      </c>
      <c r="C55">
        <f>Config!B2</f>
        <v/>
      </c>
    </row>
    <row r="56">
      <c r="A56" t="inlineStr">
        <is>
          <t>FOT-055</t>
        </is>
      </c>
      <c r="C56">
        <f>Config!B2</f>
        <v/>
      </c>
    </row>
    <row r="57">
      <c r="A57" t="inlineStr">
        <is>
          <t>FOT-056</t>
        </is>
      </c>
      <c r="C57">
        <f>Config!B2</f>
        <v/>
      </c>
    </row>
    <row r="58">
      <c r="A58" t="inlineStr">
        <is>
          <t>FOT-057</t>
        </is>
      </c>
      <c r="C58">
        <f>Config!B2</f>
        <v/>
      </c>
    </row>
    <row r="59">
      <c r="A59" t="inlineStr">
        <is>
          <t>FOT-058</t>
        </is>
      </c>
      <c r="C59">
        <f>Config!B2</f>
        <v/>
      </c>
    </row>
    <row r="60">
      <c r="A60" t="inlineStr">
        <is>
          <t>FOT-059</t>
        </is>
      </c>
      <c r="C60">
        <f>Config!B2</f>
        <v/>
      </c>
    </row>
    <row r="61">
      <c r="A61" t="inlineStr">
        <is>
          <t>FOT-060</t>
        </is>
      </c>
      <c r="C61">
        <f>Config!B2</f>
        <v/>
      </c>
    </row>
    <row r="62">
      <c r="A62" t="inlineStr">
        <is>
          <t>FOT-061</t>
        </is>
      </c>
      <c r="C62">
        <f>Config!B2</f>
        <v/>
      </c>
    </row>
    <row r="63">
      <c r="A63" t="inlineStr">
        <is>
          <t>FOT-062</t>
        </is>
      </c>
      <c r="C63">
        <f>Config!B2</f>
        <v/>
      </c>
    </row>
    <row r="64">
      <c r="A64" t="inlineStr">
        <is>
          <t>FOT-063</t>
        </is>
      </c>
      <c r="C64">
        <f>Config!B2</f>
        <v/>
      </c>
    </row>
    <row r="65">
      <c r="A65" t="inlineStr">
        <is>
          <t>FOT-064</t>
        </is>
      </c>
      <c r="C65">
        <f>Config!B2</f>
        <v/>
      </c>
    </row>
    <row r="66">
      <c r="A66" t="inlineStr">
        <is>
          <t>FOT-065</t>
        </is>
      </c>
      <c r="C66">
        <f>Config!B2</f>
        <v/>
      </c>
    </row>
    <row r="67">
      <c r="A67" t="inlineStr">
        <is>
          <t>FOT-066</t>
        </is>
      </c>
      <c r="C67">
        <f>Config!B2</f>
        <v/>
      </c>
    </row>
    <row r="68">
      <c r="A68" t="inlineStr">
        <is>
          <t>FOT-067</t>
        </is>
      </c>
      <c r="C68">
        <f>Config!B2</f>
        <v/>
      </c>
    </row>
    <row r="69">
      <c r="A69" t="inlineStr">
        <is>
          <t>FOT-068</t>
        </is>
      </c>
      <c r="C69">
        <f>Config!B2</f>
        <v/>
      </c>
    </row>
    <row r="70">
      <c r="A70" t="inlineStr">
        <is>
          <t>FOT-069</t>
        </is>
      </c>
      <c r="C70">
        <f>Config!B2</f>
        <v/>
      </c>
    </row>
    <row r="71">
      <c r="A71" t="inlineStr">
        <is>
          <t>FOT-070</t>
        </is>
      </c>
      <c r="C71">
        <f>Config!B2</f>
        <v/>
      </c>
    </row>
    <row r="72">
      <c r="A72" t="inlineStr">
        <is>
          <t>FOT-071</t>
        </is>
      </c>
      <c r="C72">
        <f>Config!B2</f>
        <v/>
      </c>
    </row>
    <row r="73">
      <c r="A73" t="inlineStr">
        <is>
          <t>FOT-072</t>
        </is>
      </c>
      <c r="C73">
        <f>Config!B2</f>
        <v/>
      </c>
    </row>
    <row r="74">
      <c r="A74" t="inlineStr">
        <is>
          <t>FOT-073</t>
        </is>
      </c>
      <c r="C74">
        <f>Config!B2</f>
        <v/>
      </c>
    </row>
    <row r="75">
      <c r="A75" t="inlineStr">
        <is>
          <t>FOT-074</t>
        </is>
      </c>
      <c r="C75">
        <f>Config!B2</f>
        <v/>
      </c>
    </row>
    <row r="76">
      <c r="A76" t="inlineStr">
        <is>
          <t>FOT-075</t>
        </is>
      </c>
      <c r="C76">
        <f>Config!B2</f>
        <v/>
      </c>
    </row>
    <row r="77">
      <c r="A77" t="inlineStr">
        <is>
          <t>FOT-076</t>
        </is>
      </c>
      <c r="C77">
        <f>Config!B2</f>
        <v/>
      </c>
    </row>
    <row r="78">
      <c r="A78" t="inlineStr">
        <is>
          <t>FOT-077</t>
        </is>
      </c>
      <c r="C78">
        <f>Config!B2</f>
        <v/>
      </c>
    </row>
    <row r="79">
      <c r="A79" t="inlineStr">
        <is>
          <t>FOT-078</t>
        </is>
      </c>
      <c r="C79">
        <f>Config!B2</f>
        <v/>
      </c>
    </row>
    <row r="80">
      <c r="A80" t="inlineStr">
        <is>
          <t>FOT-079</t>
        </is>
      </c>
      <c r="C80">
        <f>Config!B2</f>
        <v/>
      </c>
    </row>
    <row r="81">
      <c r="A81" t="inlineStr">
        <is>
          <t>FOT-080</t>
        </is>
      </c>
      <c r="C81">
        <f>Config!B2</f>
        <v/>
      </c>
    </row>
    <row r="82">
      <c r="A82" t="inlineStr">
        <is>
          <t>FOT-081</t>
        </is>
      </c>
      <c r="C82">
        <f>Config!B2</f>
        <v/>
      </c>
    </row>
    <row r="83">
      <c r="A83" t="inlineStr">
        <is>
          <t>FOT-082</t>
        </is>
      </c>
      <c r="C83">
        <f>Config!B2</f>
        <v/>
      </c>
    </row>
    <row r="84">
      <c r="A84" t="inlineStr">
        <is>
          <t>FOT-083</t>
        </is>
      </c>
      <c r="C84">
        <f>Config!B2</f>
        <v/>
      </c>
    </row>
    <row r="85">
      <c r="A85" t="inlineStr">
        <is>
          <t>FOT-084</t>
        </is>
      </c>
      <c r="C85">
        <f>Config!B2</f>
        <v/>
      </c>
    </row>
    <row r="86">
      <c r="A86" t="inlineStr">
        <is>
          <t>FOT-085</t>
        </is>
      </c>
      <c r="C86">
        <f>Config!B2</f>
        <v/>
      </c>
    </row>
    <row r="87">
      <c r="A87" t="inlineStr">
        <is>
          <t>FOT-086</t>
        </is>
      </c>
      <c r="C87">
        <f>Config!B2</f>
        <v/>
      </c>
    </row>
    <row r="88">
      <c r="A88" t="inlineStr">
        <is>
          <t>FOT-087</t>
        </is>
      </c>
      <c r="C88">
        <f>Config!B2</f>
        <v/>
      </c>
    </row>
    <row r="89">
      <c r="A89" t="inlineStr">
        <is>
          <t>FOT-088</t>
        </is>
      </c>
      <c r="C89">
        <f>Config!B2</f>
        <v/>
      </c>
    </row>
    <row r="90">
      <c r="A90" t="inlineStr">
        <is>
          <t>FOT-089</t>
        </is>
      </c>
      <c r="C90">
        <f>Config!B2</f>
        <v/>
      </c>
    </row>
    <row r="91">
      <c r="A91" t="inlineStr">
        <is>
          <t>FOT-090</t>
        </is>
      </c>
      <c r="C91">
        <f>Config!B2</f>
        <v/>
      </c>
    </row>
    <row r="92">
      <c r="A92" t="inlineStr">
        <is>
          <t>FOT-091</t>
        </is>
      </c>
      <c r="C92">
        <f>Config!B2</f>
        <v/>
      </c>
    </row>
    <row r="93">
      <c r="A93" t="inlineStr">
        <is>
          <t>FOT-092</t>
        </is>
      </c>
      <c r="C93">
        <f>Config!B2</f>
        <v/>
      </c>
    </row>
    <row r="94">
      <c r="A94" t="inlineStr">
        <is>
          <t>FOT-093</t>
        </is>
      </c>
      <c r="C94">
        <f>Config!B2</f>
        <v/>
      </c>
    </row>
    <row r="95">
      <c r="A95" t="inlineStr">
        <is>
          <t>FOT-094</t>
        </is>
      </c>
      <c r="C95">
        <f>Config!B2</f>
        <v/>
      </c>
    </row>
    <row r="96">
      <c r="A96" t="inlineStr">
        <is>
          <t>FOT-095</t>
        </is>
      </c>
      <c r="C96">
        <f>Config!B2</f>
        <v/>
      </c>
    </row>
    <row r="97">
      <c r="A97" t="inlineStr">
        <is>
          <t>FOT-096</t>
        </is>
      </c>
      <c r="C97">
        <f>Config!B2</f>
        <v/>
      </c>
    </row>
    <row r="98">
      <c r="A98" t="inlineStr">
        <is>
          <t>FOT-097</t>
        </is>
      </c>
      <c r="C98">
        <f>Config!B2</f>
        <v/>
      </c>
    </row>
    <row r="99">
      <c r="A99" t="inlineStr">
        <is>
          <t>FOT-098</t>
        </is>
      </c>
      <c r="C99">
        <f>Config!B2</f>
        <v/>
      </c>
    </row>
    <row r="100">
      <c r="A100" t="inlineStr">
        <is>
          <t>FOT-099</t>
        </is>
      </c>
      <c r="C100">
        <f>Config!B2</f>
        <v/>
      </c>
    </row>
    <row r="101">
      <c r="A101" t="inlineStr">
        <is>
          <t>FOT-100</t>
        </is>
      </c>
      <c r="C101">
        <f>Config!B2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0" t="inlineStr">
        <is>
          <t>DASHBOARD MENSUAL — AUDITORÍA AMBIENTAL</t>
        </is>
      </c>
    </row>
    <row r="2">
      <c r="A2" t="inlineStr">
        <is>
          <t>Periodo:</t>
        </is>
      </c>
      <c r="B2">
        <f>Config!B2</f>
        <v/>
      </c>
    </row>
    <row r="4">
      <c r="A4" s="4" t="inlineStr">
        <is>
          <t>% cumplimiento total</t>
        </is>
      </c>
      <c r="B4" s="11">
        <f>SI.ERROR((CONTAR.SI('Matriz auditoría mensual'!N2:N84;"Cumple")*Config!$B$9+CONTAR.SI('Matriz auditoría mensual'!N2:N84;"Cumple parcialmente")*Config!$B$10+CONTAR.SI('Matriz auditoría mensual'!N2:N84;"No cumple")*Config!$B$11+CONTAR.SI('Matriz auditoría mensual'!N2:N84;"En proceso de regularización")*Config!$B$12)/(CONTAR('Matriz auditoría mensual'!N2:N84)-CONTAR.SI('Matriz auditoría mensual'!N2:N84;"No aplica")-CONTAR.SI('Matriz auditoría mensual'!N2:N84;"Pendiente de verificación"));0)</f>
        <v/>
      </c>
      <c r="D4" t="inlineStr">
        <is>
          <t>Estado</t>
        </is>
      </c>
      <c r="E4" t="inlineStr">
        <is>
          <t>Cantidad</t>
        </is>
      </c>
    </row>
    <row r="5">
      <c r="A5" s="4" t="inlineStr">
        <is>
          <t>% requisitos cumplidos</t>
        </is>
      </c>
      <c r="B5" s="12">
        <f>CONTAR.SI('Matriz auditoría mensual'!N2:N84;"Cumple")</f>
        <v/>
      </c>
      <c r="D5" t="inlineStr">
        <is>
          <t>Cumple</t>
        </is>
      </c>
      <c r="E5">
        <f>CONTAR.SI('Matriz auditoría mensual'!N2:N84;"Cumple")</f>
        <v/>
      </c>
    </row>
    <row r="6">
      <c r="A6" s="4" t="inlineStr">
        <is>
          <t>% cumplimiento parcial</t>
        </is>
      </c>
      <c r="B6" s="12">
        <f>CONTAR.SI('Matriz auditoría mensual'!N2:N84;"Cumple parcialmente")</f>
        <v/>
      </c>
      <c r="D6" t="inlineStr">
        <is>
          <t>Cumple parcialmente</t>
        </is>
      </c>
      <c r="E6">
        <f>CONTAR.SI('Matriz auditoría mensual'!N2:N84;"Cumple parcialmente")</f>
        <v/>
      </c>
    </row>
    <row r="7">
      <c r="A7" s="4" t="inlineStr">
        <is>
          <t>Incumplimientos (No cumple)</t>
        </is>
      </c>
      <c r="B7" s="12">
        <f>CONTAR.SI('Matriz auditoría mensual'!N2:N84;"No cumple")</f>
        <v/>
      </c>
      <c r="D7" t="inlineStr">
        <is>
          <t>No cumple</t>
        </is>
      </c>
      <c r="E7">
        <f>CONTAR.SI('Matriz auditoría mensual'!N2:N84;"No cumple")</f>
        <v/>
      </c>
    </row>
    <row r="8">
      <c r="A8" s="4" t="inlineStr">
        <is>
          <t>Hallazgos críticos</t>
        </is>
      </c>
      <c r="B8" s="12">
        <f>CONTAR.SI.CONJUNTO('Registro hallazgos'!H:H;"Crítico";'Registro hallazgos'!P:P;"&lt;&gt;Cerrado")</f>
        <v/>
      </c>
      <c r="D8" t="inlineStr">
        <is>
          <t>Pendiente</t>
        </is>
      </c>
      <c r="E8">
        <f>CONTAR.SI('Matriz auditoría mensual'!N2:N84;"Pendiente de verificación")</f>
        <v/>
      </c>
    </row>
    <row r="9">
      <c r="A9" s="4" t="inlineStr">
        <is>
          <t>Hallazgos mayores</t>
        </is>
      </c>
      <c r="B9" s="12">
        <f>CONTAR.SI.CONJUNTO('Registro hallazgos'!H:H;"Mayor";'Registro hallazgos'!P:P;"&lt;&gt;Cerrado")</f>
        <v/>
      </c>
      <c r="D9" t="inlineStr">
        <is>
          <t>En regularización</t>
        </is>
      </c>
      <c r="E9">
        <f>CONTAR.SI('Matriz auditoría mensual'!N2:N84;"En proceso de regularización")</f>
        <v/>
      </c>
    </row>
    <row r="10">
      <c r="A10" s="4" t="inlineStr">
        <is>
          <t>Hallazgos abiertos</t>
        </is>
      </c>
      <c r="B10" s="12">
        <f>CONTAR.SI('Registro hallazgos'!P:P;"Abierto")+CONTAR.SI('Registro hallazgos'!P:P;"En tratamiento")</f>
        <v/>
      </c>
    </row>
    <row r="11">
      <c r="A11" s="4" t="inlineStr">
        <is>
          <t>Hallazgos vencidos</t>
        </is>
      </c>
      <c r="B11" s="12">
        <f>CONTAR.SI.CONJUNTO('Registro hallazgos'!N:N;"&lt;"&amp;HOY();'Registro hallazgos'!O:O;"")</f>
        <v/>
      </c>
    </row>
    <row r="12">
      <c r="A12" s="4" t="inlineStr">
        <is>
          <t>Documentos vigentes</t>
        </is>
      </c>
      <c r="B12" s="12">
        <f>CONTAR.SI('Control permisos'!K:K;"Vigente")</f>
        <v/>
      </c>
      <c r="D12" t="inlineStr">
        <is>
          <t>Nivel hallazgo</t>
        </is>
      </c>
      <c r="E12" t="inlineStr">
        <is>
          <t>Cantidad</t>
        </is>
      </c>
    </row>
    <row r="13">
      <c r="A13" s="4" t="inlineStr">
        <is>
          <t>Documentos por vencer (≤60 d)</t>
        </is>
      </c>
      <c r="B13" s="12">
        <f>CONTAR.SI('Control permisos'!K:K;"Por vencer en 30 días")+CONTAR.SI('Control permisos'!K:K;"Por vencer en 60 días")</f>
        <v/>
      </c>
      <c r="D13" t="inlineStr">
        <is>
          <t>Crítico</t>
        </is>
      </c>
      <c r="E13">
        <f>CONTAR.SI('Registro hallazgos'!H:H;"Crítico")</f>
        <v/>
      </c>
    </row>
    <row r="14">
      <c r="A14" s="4" t="inlineStr">
        <is>
          <t>Documentos vencidos</t>
        </is>
      </c>
      <c r="B14" s="12">
        <f>CONTAR.SI('Control permisos'!K:K;"Vencido")</f>
        <v/>
      </c>
      <c r="D14" t="inlineStr">
        <is>
          <t>Mayor</t>
        </is>
      </c>
      <c r="E14">
        <f>CONTAR.SI('Registro hallazgos'!H:H;"Mayor")</f>
        <v/>
      </c>
    </row>
    <row r="15">
      <c r="A15" s="4" t="inlineStr">
        <is>
          <t>Capacitaciones del mes</t>
        </is>
      </c>
      <c r="B15" s="12">
        <f>CONTAR('Capacitaciones'!A2:A200)</f>
        <v/>
      </c>
      <c r="D15" t="inlineStr">
        <is>
          <t>Menor</t>
        </is>
      </c>
      <c r="E15">
        <f>CONTAR.SI('Registro hallazgos'!H:H;"Menor")</f>
        <v/>
      </c>
    </row>
    <row r="16">
      <c r="A16" s="4" t="inlineStr">
        <is>
          <t>Reclamos comunitarios</t>
        </is>
      </c>
      <c r="B16" s="12">
        <f>CONTAR.SI('Matriz auditoría mensual'!AB:AB;"*reclamo*")</f>
        <v/>
      </c>
      <c r="D16" t="inlineStr">
        <is>
          <t>Observación</t>
        </is>
      </c>
      <c r="E16">
        <f>CONTAR.SI('Registro hallazgos'!H:H;"Observación")</f>
        <v/>
      </c>
    </row>
    <row r="17">
      <c r="A17" s="4" t="inlineStr">
        <is>
          <t>Incidentes ambientales</t>
        </is>
      </c>
      <c r="B17" s="12">
        <f>CONTAR.SI('Registro hallazgos'!H:H;"Crítico")</f>
        <v/>
      </c>
      <c r="D17" t="inlineStr">
        <is>
          <t>Buena práctica</t>
        </is>
      </c>
      <c r="E17">
        <f>CONTAR.SI('Registro hallazgos'!H:H;"Buena práctica")</f>
        <v/>
      </c>
    </row>
    <row r="18">
      <c r="A18" s="4" t="inlineStr">
        <is>
          <t>Controles ejecutados</t>
        </is>
      </c>
      <c r="B18" s="12">
        <f>CONTAR('Matriz auditoría mensual'!T2:T84)</f>
        <v/>
      </c>
    </row>
    <row r="19">
      <c r="A19" s="4" t="inlineStr">
        <is>
          <t>Semáforo cumplimiento</t>
        </is>
      </c>
      <c r="B19" s="12">
        <f>SI(B4&gt;=0,9;"VERDE";SI(B4&gt;=0,7;"AMARILLO";"ROJO"))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3" t="inlineStr">
        <is>
          <t>INFORME MENSUAL AUTOMÁTICO — RESUMEN EJECUTIVO</t>
        </is>
      </c>
    </row>
    <row r="3" ht="20" customHeight="1">
      <c r="A3" s="4" t="inlineStr">
        <is>
          <t>Periodo auditado:</t>
        </is>
      </c>
      <c r="B3" s="14">
        <f>Config!B2</f>
        <v/>
      </c>
    </row>
    <row r="4" ht="20" customHeight="1">
      <c r="A4" s="4" t="inlineStr">
        <is>
          <t>Estado general:</t>
        </is>
      </c>
      <c r="B4" s="14">
        <f>Dashboard!B19</f>
        <v/>
      </c>
    </row>
    <row r="5" ht="20" customHeight="1">
      <c r="A5" s="4" t="inlineStr">
        <is>
          <t>Porcentaje cumplimiento:</t>
        </is>
      </c>
      <c r="B5" s="14">
        <f>Dashboard!B4</f>
        <v/>
      </c>
    </row>
    <row r="6" ht="28" customHeight="1">
      <c r="A6" s="4" t="inlineStr">
        <is>
          <t>Principales cumplimientos:</t>
        </is>
      </c>
      <c r="B6" s="14" t="inlineStr">
        <is>
          <t>(Completar manualmente a partir de la matriz)</t>
        </is>
      </c>
    </row>
    <row r="7" ht="28" customHeight="1">
      <c r="A7" s="4" t="inlineStr">
        <is>
          <t>Principales incumplimientos:</t>
        </is>
      </c>
      <c r="B7" s="14" t="inlineStr">
        <is>
          <t>(Completar manualmente a partir de la matriz)</t>
        </is>
      </c>
    </row>
    <row r="8" ht="28" customHeight="1">
      <c r="A8" s="4" t="inlineStr">
        <is>
          <t>Hallazgos críticos y mayores:</t>
        </is>
      </c>
      <c r="B8" s="14">
        <f>Dashboard!B8 &amp; " críticos; " &amp; Dashboard!B9 &amp; " mayores"</f>
        <v/>
      </c>
    </row>
    <row r="9" ht="28" customHeight="1">
      <c r="A9" s="4" t="inlineStr">
        <is>
          <t>Acciones correctivas pendientes:</t>
        </is>
      </c>
      <c r="B9" s="14">
        <f>Dashboard!B10</f>
        <v/>
      </c>
    </row>
    <row r="10" ht="28" customHeight="1">
      <c r="A10" s="4" t="inlineStr">
        <is>
          <t>Documentos vencidos o por vencer:</t>
        </is>
      </c>
      <c r="B10" s="14">
        <f>Dashboard!B13 &amp; " por vencer; " &amp; Dashboard!B14 &amp; " vencidos"</f>
        <v/>
      </c>
    </row>
    <row r="11" ht="28" customHeight="1">
      <c r="A11" s="4" t="inlineStr">
        <is>
          <t>Residuos generados:</t>
        </is>
      </c>
      <c r="B11" s="14" t="inlineStr">
        <is>
          <t>(Ver hoja Registro residuos)</t>
        </is>
      </c>
    </row>
    <row r="12" ht="28" customHeight="1">
      <c r="A12" s="4" t="inlineStr">
        <is>
          <t>Capacitaciones realizadas:</t>
        </is>
      </c>
      <c r="B12" s="14">
        <f>Dashboard!B15</f>
        <v/>
      </c>
    </row>
    <row r="13" ht="28" customHeight="1">
      <c r="A13" s="4" t="inlineStr">
        <is>
          <t>Incidentes ambientales:</t>
        </is>
      </c>
      <c r="B13" s="14" t="inlineStr">
        <is>
          <t>(Ver Registro hallazgos / Matriz REQ-038)</t>
        </is>
      </c>
    </row>
    <row r="14" ht="28" customHeight="1">
      <c r="A14" s="4" t="inlineStr">
        <is>
          <t>Reclamos comunitarios:</t>
        </is>
      </c>
      <c r="B14" s="14" t="inlineStr">
        <is>
          <t>(Ver Matriz REQ-027, REQ-078)</t>
        </is>
      </c>
    </row>
    <row r="15" ht="28" customHeight="1">
      <c r="A15" s="4" t="inlineStr">
        <is>
          <t>Recomendaciones:</t>
        </is>
      </c>
      <c r="B15" s="14" t="inlineStr"/>
    </row>
    <row r="16" ht="28" customHeight="1">
      <c r="A16" s="4" t="inlineStr">
        <is>
          <t>Conclusión del auditor:</t>
        </is>
      </c>
      <c r="B16" s="14" t="inlineStr"/>
    </row>
    <row r="17" ht="28" customHeight="1">
      <c r="A17" s="4" t="inlineStr">
        <is>
          <t>Nombre y firma:</t>
        </is>
      </c>
      <c r="B17" s="14">
        <f>Config!B5</f>
        <v/>
      </c>
    </row>
  </sheetData>
  <mergeCells count="15">
    <mergeCell ref="B4:F4"/>
    <mergeCell ref="B12:F12"/>
    <mergeCell ref="B7:F7"/>
    <mergeCell ref="B6:F6"/>
    <mergeCell ref="B16:F16"/>
    <mergeCell ref="B15:F15"/>
    <mergeCell ref="B10:F10"/>
    <mergeCell ref="B11:F11"/>
    <mergeCell ref="B3:F3"/>
    <mergeCell ref="B5:F5"/>
    <mergeCell ref="B14:F14"/>
    <mergeCell ref="B8:F8"/>
    <mergeCell ref="B17:F17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2026-09-02T15:44:08Z</dcterms:created>
  <dcterms:modified xsi:type="dcterms:W3CDTF">2026-09-02T15:44:08Z</dcterms:modified>
</cp:coreProperties>
</file>